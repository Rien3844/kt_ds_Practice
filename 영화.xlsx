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28A6F52D-7993-4A30-8D30-E4DC4A401176}" xr6:coauthVersionLast="36" xr6:coauthVersionMax="36" xr10:uidLastSave="{00000000-0000-0000-0000-000000000000}"/>
  <bookViews>
    <workbookView xWindow="0" yWindow="0" windowWidth="21570" windowHeight="7935" xr2:uid="{5A3A32AA-10B4-4241-8FAA-9DF23CF5A841}"/>
  </bookViews>
  <sheets>
    <sheet name="영화" sheetId="1" r:id="rId1"/>
    <sheet name="출연" sheetId="6" r:id="rId2"/>
    <sheet name="출연진" sheetId="7" r:id="rId3"/>
    <sheet name="장르" sheetId="3" r:id="rId4"/>
    <sheet name="분류" sheetId="4" r:id="rId5"/>
    <sheet name="제작진" sheetId="2" r:id="rId6"/>
    <sheet name="제작" sheetId="5"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1" i="5" l="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2" i="5"/>
  <c r="H41"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2" i="5"/>
  <c r="F41"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2" i="5"/>
  <c r="D2" i="5"/>
  <c r="D41" i="5" s="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B41"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2" i="5"/>
  <c r="D27" i="2"/>
  <c r="D3" i="2"/>
  <c r="D4" i="2"/>
  <c r="D5" i="2"/>
  <c r="D6" i="2"/>
  <c r="D7" i="2"/>
  <c r="D8" i="2"/>
  <c r="D9" i="2"/>
  <c r="D10" i="2"/>
  <c r="D11" i="2"/>
  <c r="D12" i="2"/>
  <c r="D13" i="2"/>
  <c r="D14" i="2"/>
  <c r="D15" i="2"/>
  <c r="D16" i="2"/>
  <c r="D17" i="2"/>
  <c r="D18" i="2"/>
  <c r="D19" i="2"/>
  <c r="D20" i="2"/>
  <c r="D21" i="2"/>
  <c r="D22" i="2"/>
  <c r="D23" i="2"/>
  <c r="D24" i="2"/>
  <c r="D25" i="2"/>
  <c r="D26" i="2"/>
  <c r="D2" i="2"/>
  <c r="B27" i="2"/>
  <c r="B3" i="2"/>
  <c r="B4" i="2"/>
  <c r="B5" i="2"/>
  <c r="B6" i="2"/>
  <c r="B7" i="2"/>
  <c r="B8" i="2"/>
  <c r="B9" i="2"/>
  <c r="B10" i="2"/>
  <c r="B11" i="2"/>
  <c r="B12" i="2"/>
  <c r="B13" i="2"/>
  <c r="B14" i="2"/>
  <c r="B15" i="2"/>
  <c r="B16" i="2"/>
  <c r="B17" i="2"/>
  <c r="B18" i="2"/>
  <c r="B19" i="2"/>
  <c r="B20" i="2"/>
  <c r="B21" i="2"/>
  <c r="B22" i="2"/>
  <c r="B23" i="2"/>
  <c r="B24" i="2"/>
  <c r="B25" i="2"/>
  <c r="B26" i="2"/>
  <c r="B2" i="2"/>
  <c r="F11" i="4"/>
  <c r="F3" i="4"/>
  <c r="F4" i="4"/>
  <c r="F5" i="4"/>
  <c r="F6" i="4"/>
  <c r="F7" i="4"/>
  <c r="F8" i="4"/>
  <c r="F9" i="4"/>
  <c r="F10" i="4"/>
  <c r="F2" i="4"/>
  <c r="D11" i="4"/>
  <c r="D3" i="4"/>
  <c r="D4" i="4"/>
  <c r="D5" i="4"/>
  <c r="D6" i="4"/>
  <c r="D7" i="4"/>
  <c r="D8" i="4"/>
  <c r="D9" i="4"/>
  <c r="D10" i="4"/>
  <c r="D2" i="4"/>
  <c r="B11" i="4"/>
  <c r="B3" i="4"/>
  <c r="B4" i="4"/>
  <c r="B5" i="4"/>
  <c r="B6" i="4"/>
  <c r="B7" i="4"/>
  <c r="B8" i="4"/>
  <c r="B9" i="4"/>
  <c r="B10" i="4"/>
  <c r="B2" i="4"/>
  <c r="F34"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2" i="3"/>
  <c r="D34"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2" i="3"/>
  <c r="B34"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2" i="3"/>
  <c r="F83"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2" i="7"/>
  <c r="D83"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2" i="7"/>
  <c r="B83"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2" i="7"/>
  <c r="H87"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2" i="6"/>
  <c r="F87"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2" i="6"/>
  <c r="D87"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2" i="6"/>
  <c r="V3" i="1"/>
  <c r="V4" i="1"/>
  <c r="V5" i="1"/>
  <c r="V6" i="1"/>
  <c r="V7" i="1"/>
  <c r="V8" i="1"/>
  <c r="V9" i="1"/>
  <c r="V10" i="1"/>
  <c r="V11" i="1"/>
  <c r="V2" i="1"/>
  <c r="V12" i="1" s="1"/>
  <c r="T3" i="1"/>
  <c r="T4" i="1"/>
  <c r="T5" i="1"/>
  <c r="T6" i="1"/>
  <c r="T7" i="1"/>
  <c r="T8" i="1"/>
  <c r="T9" i="1"/>
  <c r="T10" i="1"/>
  <c r="T12" i="1" s="1"/>
  <c r="T11" i="1"/>
  <c r="T2" i="1"/>
  <c r="R3" i="1"/>
  <c r="R4" i="1"/>
  <c r="R5" i="1"/>
  <c r="R6" i="1"/>
  <c r="R7" i="1"/>
  <c r="R8" i="1"/>
  <c r="R9" i="1"/>
  <c r="R10" i="1"/>
  <c r="R11" i="1"/>
  <c r="R2" i="1"/>
  <c r="R12" i="1" s="1"/>
  <c r="P3" i="1"/>
  <c r="P4" i="1"/>
  <c r="P5" i="1"/>
  <c r="P6" i="1"/>
  <c r="P7" i="1"/>
  <c r="P8" i="1"/>
  <c r="P9" i="1"/>
  <c r="P10" i="1"/>
  <c r="P11" i="1"/>
  <c r="P2" i="1"/>
  <c r="N3" i="1"/>
  <c r="N4" i="1"/>
  <c r="N5" i="1"/>
  <c r="N6" i="1"/>
  <c r="N7" i="1"/>
  <c r="N8" i="1"/>
  <c r="N9" i="1"/>
  <c r="N10" i="1"/>
  <c r="N11" i="1"/>
  <c r="N2" i="1"/>
  <c r="N12" i="1" s="1"/>
  <c r="K3" i="1"/>
  <c r="K4" i="1"/>
  <c r="K5" i="1"/>
  <c r="K6" i="1"/>
  <c r="K7" i="1"/>
  <c r="K8" i="1"/>
  <c r="K9" i="1"/>
  <c r="K10" i="1"/>
  <c r="K11" i="1"/>
  <c r="K2" i="1"/>
  <c r="H3" i="1"/>
  <c r="H4" i="1"/>
  <c r="H5" i="1"/>
  <c r="H6" i="1"/>
  <c r="H7" i="1"/>
  <c r="H8" i="1"/>
  <c r="H9" i="1"/>
  <c r="H10" i="1"/>
  <c r="H11" i="1"/>
  <c r="H2" i="1"/>
  <c r="F3" i="1"/>
  <c r="F4" i="1"/>
  <c r="F5" i="1"/>
  <c r="F6" i="1"/>
  <c r="F7" i="1"/>
  <c r="F8" i="1"/>
  <c r="F9" i="1"/>
  <c r="F10" i="1"/>
  <c r="F11" i="1"/>
  <c r="F2" i="1"/>
  <c r="D3" i="1"/>
  <c r="D4" i="1"/>
  <c r="D5" i="1"/>
  <c r="D6" i="1"/>
  <c r="D7" i="1"/>
  <c r="D8" i="1"/>
  <c r="D9" i="1"/>
  <c r="D10" i="1"/>
  <c r="D11" i="1"/>
  <c r="D2" i="1"/>
  <c r="B3" i="1"/>
  <c r="B4" i="1"/>
  <c r="B5" i="1"/>
  <c r="B6" i="1"/>
  <c r="B7" i="1"/>
  <c r="B8" i="1"/>
  <c r="B9" i="1"/>
  <c r="B10" i="1"/>
  <c r="B11" i="1"/>
  <c r="B2" i="1"/>
  <c r="P12" i="1" l="1"/>
  <c r="K12" i="1"/>
  <c r="F12" i="1"/>
  <c r="B12" i="1"/>
  <c r="D12" i="1"/>
  <c r="H12" i="1"/>
  <c r="B87" i="6"/>
</calcChain>
</file>

<file path=xl/sharedStrings.xml><?xml version="1.0" encoding="utf-8"?>
<sst xmlns="http://schemas.openxmlformats.org/spreadsheetml/2006/main" count="1068" uniqueCount="591">
  <si>
    <t>매기 강</t>
  </si>
  <si>
    <t>Director</t>
  </si>
  <si>
    <t>Director</t>
    <phoneticPr fontId="1" type="noConversion"/>
  </si>
  <si>
    <t>Screenplay</t>
  </si>
  <si>
    <t>Screenplay</t>
    <phoneticPr fontId="1" type="noConversion"/>
  </si>
  <si>
    <t>Story</t>
  </si>
  <si>
    <t>제작진 이름</t>
    <phoneticPr fontId="1" type="noConversion"/>
  </si>
  <si>
    <t>제작진 역할</t>
    <phoneticPr fontId="1" type="noConversion"/>
  </si>
  <si>
    <t>크리스 아펠한스</t>
  </si>
  <si>
    <t>다냐 히메네스</t>
  </si>
  <si>
    <t>해나 맥메찬</t>
  </si>
  <si>
    <t>개요</t>
    <phoneticPr fontId="1" type="noConversion"/>
  </si>
  <si>
    <t>소개글</t>
    <phoneticPr fontId="1" type="noConversion"/>
  </si>
  <si>
    <t>케이팝 슈퍼스타 루미, 미라, 조이. 매진을 기록하는 대형 스타디움 공연이 없을 때면 이들은 또 다른 활동에 나선다. 바로 비밀 능력을 이용해 팬들을 초자연적 위협으로부터 보호하는 것.</t>
  </si>
  <si>
    <t>영화 아이디</t>
    <phoneticPr fontId="1" type="noConversion"/>
  </si>
  <si>
    <t>포스터 URL</t>
    <phoneticPr fontId="1" type="noConversion"/>
  </si>
  <si>
    <t>제목</t>
    <phoneticPr fontId="1" type="noConversion"/>
  </si>
  <si>
    <t>관람등급</t>
    <phoneticPr fontId="1" type="noConversion"/>
  </si>
  <si>
    <t>개봉연도</t>
    <phoneticPr fontId="1" type="noConversion"/>
  </si>
  <si>
    <t>개봉국가</t>
    <phoneticPr fontId="1" type="noConversion"/>
  </si>
  <si>
    <t>상영시간</t>
    <phoneticPr fontId="1" type="noConversion"/>
  </si>
  <si>
    <t>Untitled KPop Demon Hunters Sequel</t>
  </si>
  <si>
    <t>The second installment in the franchise. Plot TBA.</t>
  </si>
  <si>
    <t>케이팝 데몬 헌터스</t>
  </si>
  <si>
    <t>KR</t>
    <phoneticPr fontId="1" type="noConversion"/>
  </si>
  <si>
    <t>분류아이디</t>
    <phoneticPr fontId="1" type="noConversion"/>
  </si>
  <si>
    <t>분류명</t>
    <phoneticPr fontId="1" type="noConversion"/>
  </si>
  <si>
    <t>14-fantasy</t>
  </si>
  <si>
    <t>판타지</t>
    <phoneticPr fontId="1" type="noConversion"/>
  </si>
  <si>
    <t>음악</t>
    <phoneticPr fontId="1" type="noConversion"/>
  </si>
  <si>
    <t>코미디</t>
    <phoneticPr fontId="1" type="noConversion"/>
  </si>
  <si>
    <t>애니메이션</t>
    <phoneticPr fontId="1" type="noConversion"/>
  </si>
  <si>
    <t>모험</t>
    <phoneticPr fontId="1" type="noConversion"/>
  </si>
  <si>
    <t>가족</t>
    <phoneticPr fontId="1" type="noConversion"/>
  </si>
  <si>
    <t>10751-family</t>
  </si>
  <si>
    <t>10402-music</t>
    <phoneticPr fontId="1" type="noConversion"/>
  </si>
  <si>
    <t>12-adventure</t>
  </si>
  <si>
    <t>16-animation</t>
  </si>
  <si>
    <t>Writer</t>
  </si>
  <si>
    <t>제작 아이디</t>
    <phoneticPr fontId="1" type="noConversion"/>
  </si>
  <si>
    <t>제작진 아이디</t>
    <phoneticPr fontId="1" type="noConversion"/>
  </si>
  <si>
    <t>원제</t>
    <phoneticPr fontId="1" type="noConversion"/>
  </si>
  <si>
    <t>상태</t>
    <phoneticPr fontId="1" type="noConversion"/>
  </si>
  <si>
    <t>원어</t>
    <phoneticPr fontId="1" type="noConversion"/>
  </si>
  <si>
    <t>제작비</t>
    <phoneticPr fontId="1" type="noConversion"/>
  </si>
  <si>
    <t>수익</t>
    <phoneticPr fontId="1" type="noConversion"/>
  </si>
  <si>
    <t>KPop Demon Hunters</t>
    <phoneticPr fontId="1" type="noConversion"/>
  </si>
  <si>
    <t>개봉됨</t>
  </si>
  <si>
    <t>개봉됨</t>
    <phoneticPr fontId="1" type="noConversion"/>
  </si>
  <si>
    <t>영어</t>
  </si>
  <si>
    <t>영어</t>
    <phoneticPr fontId="1" type="noConversion"/>
  </si>
  <si>
    <t>제작 예정</t>
    <phoneticPr fontId="1" type="noConversion"/>
  </si>
  <si>
    <t>우연히 암흑의 여왕에 바쳐지는 제물이 된 링고를 구하기 위해 비틀즈 멤버들이 고군분투한다.</t>
  </si>
  <si>
    <t>Help!</t>
  </si>
  <si>
    <t>Stop worrying! HELP! is on the way!</t>
    <phoneticPr fontId="1" type="noConversion"/>
  </si>
  <si>
    <t>They sing. They dance. They battle demons.</t>
    <phoneticPr fontId="1" type="noConversion"/>
  </si>
  <si>
    <t>35-comedy</t>
    <phoneticPr fontId="1" type="noConversion"/>
  </si>
  <si>
    <t>출연진 아이디</t>
    <phoneticPr fontId="1" type="noConversion"/>
  </si>
  <si>
    <t>출연진 이름</t>
    <phoneticPr fontId="1" type="noConversion"/>
  </si>
  <si>
    <t>출연진 역할</t>
    <phoneticPr fontId="1" type="noConversion"/>
  </si>
  <si>
    <t>아덴 조</t>
    <phoneticPr fontId="1" type="noConversion"/>
  </si>
  <si>
    <t>Rumi (voice)</t>
  </si>
  <si>
    <t>메이 홍</t>
    <phoneticPr fontId="1" type="noConversion"/>
  </si>
  <si>
    <t>유지영</t>
    <phoneticPr fontId="1" type="noConversion"/>
  </si>
  <si>
    <t>안효섭</t>
    <phoneticPr fontId="1" type="noConversion"/>
  </si>
  <si>
    <t>Mira (voice)</t>
    <phoneticPr fontId="1" type="noConversion"/>
  </si>
  <si>
    <t>Zoey (voice)</t>
  </si>
  <si>
    <t>Jinu (voice)</t>
  </si>
  <si>
    <t>김윤진</t>
    <phoneticPr fontId="1" type="noConversion"/>
  </si>
  <si>
    <t>켄 정</t>
    <phoneticPr fontId="1" type="noConversion"/>
  </si>
  <si>
    <t>이병헌</t>
  </si>
  <si>
    <t>이병헌</t>
    <phoneticPr fontId="1" type="noConversion"/>
  </si>
  <si>
    <t>다니엘 대 킴</t>
    <phoneticPr fontId="1" type="noConversion"/>
  </si>
  <si>
    <t>Celine (voice)</t>
  </si>
  <si>
    <t>Bobby (voice)</t>
  </si>
  <si>
    <t>Gwi-Ma (voice)</t>
  </si>
  <si>
    <t>Healer Han</t>
  </si>
  <si>
    <t>Additional Voices (voice)</t>
  </si>
  <si>
    <t>Variety Show Host 1</t>
  </si>
  <si>
    <t>Idol Host</t>
  </si>
  <si>
    <t>Romance Saja (voice)</t>
  </si>
  <si>
    <t>조엘 김 부스터</t>
    <phoneticPr fontId="1" type="noConversion"/>
  </si>
  <si>
    <t>헬프!</t>
    <phoneticPr fontId="1" type="noConversion"/>
  </si>
  <si>
    <t>U</t>
    <phoneticPr fontId="1" type="noConversion"/>
  </si>
  <si>
    <t>GB</t>
    <phoneticPr fontId="1" type="noConversion"/>
  </si>
  <si>
    <t>케데헌포스터URL</t>
    <phoneticPr fontId="1" type="noConversion"/>
  </si>
  <si>
    <t>헬프포스터URL</t>
    <phoneticPr fontId="1" type="noConversion"/>
  </si>
  <si>
    <t>케데헌2포스터URL</t>
    <phoneticPr fontId="1" type="noConversion"/>
  </si>
  <si>
    <t>프로필 사진</t>
    <phoneticPr fontId="1" type="noConversion"/>
  </si>
  <si>
    <t>배우 사진</t>
    <phoneticPr fontId="1" type="noConversion"/>
  </si>
  <si>
    <t>조지 해리슨</t>
    <phoneticPr fontId="1" type="noConversion"/>
  </si>
  <si>
    <t>존 레논</t>
    <phoneticPr fontId="1" type="noConversion"/>
  </si>
  <si>
    <t>폴 매카트니</t>
    <phoneticPr fontId="1" type="noConversion"/>
  </si>
  <si>
    <t>링고 스타</t>
    <phoneticPr fontId="1" type="noConversion"/>
  </si>
  <si>
    <t>John Bluthal</t>
  </si>
  <si>
    <t>Roy Kinnear</t>
  </si>
  <si>
    <t>Victor Spinetti</t>
  </si>
  <si>
    <t>Eleanor Bron</t>
  </si>
  <si>
    <t>Leo McKern</t>
  </si>
  <si>
    <t>George</t>
  </si>
  <si>
    <t>John</t>
  </si>
  <si>
    <t>Paul</t>
  </si>
  <si>
    <t>Ringo</t>
  </si>
  <si>
    <t>Clang</t>
  </si>
  <si>
    <t>Ahme</t>
    <phoneticPr fontId="1" type="noConversion"/>
  </si>
  <si>
    <t>Bhuta</t>
  </si>
  <si>
    <t>Charles Wood</t>
  </si>
  <si>
    <t>Richard Lester</t>
  </si>
  <si>
    <t>Marc Behm</t>
  </si>
  <si>
    <t>Story</t>
    <phoneticPr fontId="1" type="noConversion"/>
  </si>
  <si>
    <t>Algernon</t>
    <phoneticPr fontId="1" type="noConversion"/>
  </si>
  <si>
    <t>Prof.Foot</t>
    <phoneticPr fontId="1" type="noConversion"/>
  </si>
  <si>
    <t>제작진 파트</t>
    <phoneticPr fontId="1" type="noConversion"/>
  </si>
  <si>
    <t>연출</t>
    <phoneticPr fontId="1" type="noConversion"/>
  </si>
  <si>
    <t>각본</t>
    <phoneticPr fontId="1" type="noConversion"/>
  </si>
  <si>
    <t>인터스텔라포스터URL</t>
    <phoneticPr fontId="1" type="noConversion"/>
  </si>
  <si>
    <t>인터스텔라</t>
    <phoneticPr fontId="1" type="noConversion"/>
  </si>
  <si>
    <t>우린 답을 찾을 것이다, 늘 그랬듯이</t>
    <phoneticPr fontId="1" type="noConversion"/>
  </si>
  <si>
    <t>세계 각국의 정부와 경제가 완전히 붕괴된 미래가 다가온다. 지난 20세기에 범한 잘못이 전 세계적인 식량 부족을 불러왔고, NASA도 해체되었다. 나사 소속 우주비행사였던 쿠퍼는 지구에 몰아친 식량난으로 옥수수나 키우며 살고 있다. 거센 황사가 몰아친 어느 날 알 수 없는 힘에 이끌려 딸과 함께 도착한 곳은 인류가 이주할 행성을 찾는 나사의 비밀본부. 이 때 시공간에 불가사의한 틈이 열리고, 이 곳을 탐험해 인류를 구해야 하는 임무를 위해 쿠퍼는 만류하는 딸을 뒤로한 채 우주선에 탑승하는데...</t>
    <phoneticPr fontId="1" type="noConversion"/>
  </si>
  <si>
    <t>Interstellar</t>
  </si>
  <si>
    <t>매튜 매커너히</t>
    <phoneticPr fontId="1" type="noConversion"/>
  </si>
  <si>
    <t>앤 해서웨이</t>
  </si>
  <si>
    <t>마이클 케인</t>
    <phoneticPr fontId="1" type="noConversion"/>
  </si>
  <si>
    <t>제시카 차스테인</t>
    <phoneticPr fontId="1" type="noConversion"/>
  </si>
  <si>
    <t>케이시 애플렉</t>
  </si>
  <si>
    <t>웨스 벤틀리</t>
    <phoneticPr fontId="1" type="noConversion"/>
  </si>
  <si>
    <t>토퍼 그레이스</t>
  </si>
  <si>
    <t>맥켄지 포이</t>
  </si>
  <si>
    <t>앨런 버스틴</t>
  </si>
  <si>
    <t>Murph (older)</t>
    <phoneticPr fontId="1" type="noConversion"/>
  </si>
  <si>
    <t>Murph (10 Yrs.)</t>
  </si>
  <si>
    <t>Getty</t>
    <phoneticPr fontId="1" type="noConversion"/>
  </si>
  <si>
    <t>Doyle</t>
  </si>
  <si>
    <t>Tom</t>
    <phoneticPr fontId="1" type="noConversion"/>
  </si>
  <si>
    <t>Murph</t>
    <phoneticPr fontId="1" type="noConversion"/>
  </si>
  <si>
    <t>Professor Brand</t>
  </si>
  <si>
    <t>Brand</t>
  </si>
  <si>
    <t>Cooper</t>
  </si>
  <si>
    <t>878-science-fiction</t>
  </si>
  <si>
    <t>SF</t>
    <phoneticPr fontId="1" type="noConversion"/>
  </si>
  <si>
    <t>18-drama</t>
  </si>
  <si>
    <t>드라마</t>
    <phoneticPr fontId="1" type="noConversion"/>
  </si>
  <si>
    <t>조나단 놀란</t>
  </si>
  <si>
    <t>크리스토퍼 놀란</t>
  </si>
  <si>
    <t>센과 치히로의 행방불명 포스터 URL</t>
    <phoneticPr fontId="1" type="noConversion"/>
  </si>
  <si>
    <t>센과 치히로의 행방불명</t>
  </si>
  <si>
    <t>ALL</t>
    <phoneticPr fontId="1" type="noConversion"/>
  </si>
  <si>
    <t>금지된 세계의 문이 열렸다</t>
    <phoneticPr fontId="1" type="noConversion"/>
  </si>
  <si>
    <t>평범한 열 살 짜리 소녀 치히로 식구는 이사 가던 중 길을 잘못 들어 낡은 터널을 지나가게 된다. 터널 저편엔 폐허가 된 놀이공원이 있었고 그곳엔 이상한 기운이 흘렀다. 인기척 하나 없는 이 마을의 낯선 분위기에 불길한 기운을 느낀 치히로는 부모님에게 돌아가자고 조르지만 부모님은 호기심에 들떠 마을 곳곳을 돌아다니기 시작한다. 어느 음식점에 도착한 치히로의 부모님은 그 곳에 차려진 음식들을 보고 즐거워하며 허겁지겁 먹어대다가 돼지로 변해버린다. 겁에 질려 당황하는 치히로에게 낯선 소년 하쿠가 나타나 빨리 이곳을 나가라고 소리치는데...</t>
    <phoneticPr fontId="1" type="noConversion"/>
  </si>
  <si>
    <t>千と千尋の神隠し</t>
  </si>
  <si>
    <t>일본어</t>
  </si>
  <si>
    <t>Chihiro (voice)</t>
  </si>
  <si>
    <t>Haku (voice)</t>
  </si>
  <si>
    <t>Yubaba </t>
  </si>
  <si>
    <t>Zeniba (voice)</t>
    <phoneticPr fontId="1" type="noConversion"/>
  </si>
  <si>
    <t>Father (voice)</t>
  </si>
  <si>
    <t>히이라기 루미</t>
  </si>
  <si>
    <t>이리노 미유</t>
  </si>
  <si>
    <t>나츠키 마리</t>
  </si>
  <si>
    <t>나이토 타카시</t>
    <phoneticPr fontId="1" type="noConversion"/>
  </si>
  <si>
    <t>사와구치 야스코</t>
  </si>
  <si>
    <t>가슈인 타츠야</t>
  </si>
  <si>
    <t>카미키 류노스케</t>
  </si>
  <si>
    <t>타마이 유미</t>
  </si>
  <si>
    <t>오오이즈미 요</t>
  </si>
  <si>
    <t>Mother (voice)</t>
    <phoneticPr fontId="1" type="noConversion"/>
  </si>
  <si>
    <t>Aogaeru (voice)</t>
    <phoneticPr fontId="1" type="noConversion"/>
  </si>
  <si>
    <t>Boh (voice)</t>
  </si>
  <si>
    <t>Rin (voice)</t>
  </si>
  <si>
    <t>Bandai Frog (voice)</t>
  </si>
  <si>
    <t>미야자키 하야오</t>
  </si>
  <si>
    <t>설국열차포스터URL</t>
    <phoneticPr fontId="1" type="noConversion"/>
  </si>
  <si>
    <t>설국열차</t>
    <phoneticPr fontId="1" type="noConversion"/>
  </si>
  <si>
    <t>새로운 빙하기. 그리고 설국 17년, 인류 마지막 생존지역</t>
    <phoneticPr fontId="1" type="noConversion"/>
  </si>
  <si>
    <t>기상 이변으로 모든 것이 꽁꽁 얼어붙은 지구, 살아남은 사람들을 태운 기차 한 대가 끝없이 궤도를 달리고 있다. 춥고 배고픈 사람들이 바글대는 빈민굴 같은 꼬리칸, 그리고 선택된 사람들이 술과 마약까지 즐기며 호화로운 객실을 뒹굴고 있는 앞쪽칸. 열차 안의 세상은 결코 평등하지 않다. 기차가 달리기 시작한 17년째, 꼬리칸의 젊은 지도자 커티스는 긴 세월 준비해 온 폭동을 일으킨다. 기차의 심장인 엔진을 장악하고 기차 전체를 해방시키기 위해 절대권력자 윌포드가 도사리고 있는 엔진 칸을 향해 질주하는 커티스와 꼬리칸 사람들. 그들 앞에 예기치 못한 상황들이 기다리고 있는데...</t>
    <phoneticPr fontId="1" type="noConversion"/>
  </si>
  <si>
    <t>한국어</t>
    <phoneticPr fontId="1" type="noConversion"/>
  </si>
  <si>
    <t>크리스 에반스</t>
  </si>
  <si>
    <t>송강호</t>
  </si>
  <si>
    <t>에드 해리스</t>
  </si>
  <si>
    <t>존 허트</t>
  </si>
  <si>
    <t>틸다 스윈튼</t>
  </si>
  <si>
    <t>제이미 벨</t>
  </si>
  <si>
    <t>옥타비아 스펜서</t>
  </si>
  <si>
    <t>이완 브렘너</t>
  </si>
  <si>
    <t>고아성</t>
  </si>
  <si>
    <t>Yona</t>
  </si>
  <si>
    <t>Andrew</t>
  </si>
  <si>
    <t>Curtis</t>
  </si>
  <si>
    <t>Namgoong Minsu</t>
  </si>
  <si>
    <t>Wilford</t>
  </si>
  <si>
    <t>Gilliam</t>
  </si>
  <si>
    <t>Mason</t>
  </si>
  <si>
    <t>Edgar</t>
  </si>
  <si>
    <t>Tanya</t>
  </si>
  <si>
    <t>28-action</t>
  </si>
  <si>
    <t>액션</t>
    <phoneticPr fontId="1" type="noConversion"/>
  </si>
  <si>
    <t>봉준호</t>
  </si>
  <si>
    <t>Kelly Masterson</t>
  </si>
  <si>
    <t>세 얼간이 포스터 URL</t>
    <phoneticPr fontId="1" type="noConversion"/>
  </si>
  <si>
    <t>세 얼간이</t>
    <phoneticPr fontId="1" type="noConversion"/>
  </si>
  <si>
    <t>비뚤어진 천재들의 세상 뒤집기 한판!</t>
    <phoneticPr fontId="1" type="noConversion"/>
  </si>
  <si>
    <t>천재들만 간다는 일류 명문대 ICE, 성적과 취업만을 강요하는 학교를 발칵 뒤집어 놓은 대단한 녀석 란초! 아버지가 정해준 꿈, ‘공학자’가 되기 위해 정작 본인이 좋아하는 일은 포기하고 공부만 하는 파파보이 파르한! 찢어지게 가난한 집, 병든 아버지와 식구들을 책임지기 위해 무조건 대기업에 취직해야만 하는 라주! 친구의 이름으로 뭉친 ‘세 얼간이’! 삐딱한 천재들의 진정한 꿈을 찾기 위한 세상 뒤집기 한판이 시작된다!</t>
    <phoneticPr fontId="1" type="noConversion"/>
  </si>
  <si>
    <t>3 Idiots</t>
  </si>
  <si>
    <t>힌두어</t>
  </si>
  <si>
    <t>아미르 칸</t>
  </si>
  <si>
    <t>R. Madhavan</t>
  </si>
  <si>
    <t>Sharman Joshi</t>
  </si>
  <si>
    <t>카리나 카푸르</t>
  </si>
  <si>
    <t>Mona Singh</t>
  </si>
  <si>
    <t>Omi Vaidya</t>
  </si>
  <si>
    <t>Boman Irani</t>
  </si>
  <si>
    <t>Rahul Kumar</t>
  </si>
  <si>
    <t>Parikshat Sahni</t>
  </si>
  <si>
    <t>Ranchoddas "Rancho" Chanchad</t>
  </si>
  <si>
    <t>Farhan Qureshi</t>
  </si>
  <si>
    <t>Raju Rastogi</t>
  </si>
  <si>
    <t>Pia Sahastrabudhhe</t>
  </si>
  <si>
    <t>Viru "Virus" Sahastrabudhhe</t>
  </si>
  <si>
    <t>Chatur "Silencer" Ramalingam</t>
    <phoneticPr fontId="1" type="noConversion"/>
  </si>
  <si>
    <t>Mona Sahastrabuddhe</t>
  </si>
  <si>
    <t>Millimeter</t>
  </si>
  <si>
    <t>Mr. Qureshi</t>
  </si>
  <si>
    <t>Rajkumar Hirani</t>
  </si>
  <si>
    <t>Abhijat Joshi</t>
  </si>
  <si>
    <t>Chetan Bhagat</t>
  </si>
  <si>
    <t>Vidhu Vinod Chopra</t>
  </si>
  <si>
    <t>Novel</t>
  </si>
  <si>
    <t>아이언맨포스터URL</t>
    <phoneticPr fontId="1" type="noConversion"/>
  </si>
  <si>
    <t>아이언맨</t>
  </si>
  <si>
    <t>하이테슈퍼 히어로의 탄생, 이제 업그레이드는 끝났다!</t>
    <phoneticPr fontId="1" type="noConversion"/>
  </si>
  <si>
    <t>천재적인 두뇌와 재능으로 세계 최강의 무기업체를 이끄는 CEO이자, 타고난 매력으로 셀러브리티 못지않은 화려한 삶을 살아가던 억만장자 토니 스타크. 아프가니스탄에서 자신이 개발한 신무기 발표를 성공리에 마치고 돌아가던 그는 게릴라군의 갑작스런 공격에 의해 가슴에 치명적인 부상을 입고 게릴라군에게 납치된다. 가까스로 목숨을 건진 그에게 게릴라군은 자신들을 위한 강력한 무기를 개발하라며 그를 위협한다. 그러나 그는 게릴라군을 위한 무기 대신, 탈출을 위한 무기가 장착된 철갑수트를 몰래 만드는 데 성공하고, 그의 첫 수트인 ‘Mark1’를 입고 탈출에 성공한다. 미국으로 돌아온 토니 스타크는 자신이 만든 무기가 많은 사람들의 생명을 위협하고, 세상을 엄청난 위험에 몰아넣고 있다는 사실을 깨닫고 무기사업에서 손 뗄 것을 선언한다. 그리고, Mark1을 토대로 최강의 하이테크 수트를 개발하는 데 자신의 천재적인 재능과 노력을 쏟아 붓기 시작한다. 탈출하는 당시 부서져버린 Mark1을 바탕으로 보다 업그레이드 된 수트 Mark2를 만들어낸 토니 스타크. 거기에 만족하지 않고, 숱한 시행착오와 실패 끝에 자신의 모든 능력과 현실에서 가능한 최강의 최첨단 과학 기술이 집적된 하이테크 수트 Mark3를 마침내 완성, 최강의 슈퍼히어로 ‘아이언맨’으로 거듭난다. 토니 스타크가 탈출하는 과정을 통해 Mark1의 가공할 위력을 확인한 게릴라 군은 토니 스타크가 미처 회수하지 못한 Mark1의 잔해와 설계도를 찾아낸다. Mark1을 재조립하여 그들의 목적을 이루기 위한 거대하고 강력한 철갑수트를 제작하려는 음모를 꾸미는 게릴라군. 토니 스타크가 갖고 있던 에너지원을 훔쳐 ‘아이언맨’을 능가하는 거대하고 강력한 ‘아이언 몽거’를 완성한 그들은 세계 평화를 위협하고, 토니 스타크는 그들의 음모과 배후세력이 누구인지를 알게 되는데...!</t>
    <phoneticPr fontId="1" type="noConversion"/>
  </si>
  <si>
    <t>Iron Man</t>
  </si>
  <si>
    <t>로버트 다우니 주니어</t>
  </si>
  <si>
    <t>테렌스 하워드</t>
  </si>
  <si>
    <t>제프 브리지스</t>
  </si>
  <si>
    <t>기네스 팰트로</t>
  </si>
  <si>
    <t>레슬리 비브</t>
  </si>
  <si>
    <t>숀 토브</t>
  </si>
  <si>
    <t>파란 타히르</t>
  </si>
  <si>
    <t>클라크 그렉</t>
  </si>
  <si>
    <t>Bill Smitrovich</t>
  </si>
  <si>
    <t>Tony Stark</t>
  </si>
  <si>
    <t>Rhodey</t>
  </si>
  <si>
    <t>Obadiah Stane</t>
  </si>
  <si>
    <t>Pepper Potts</t>
  </si>
  <si>
    <t>Christine Everhart</t>
  </si>
  <si>
    <t>Yinsen</t>
  </si>
  <si>
    <t>Raza</t>
  </si>
  <si>
    <t>Agent Coulson</t>
  </si>
  <si>
    <t>General Gabriel</t>
  </si>
  <si>
    <t>Hawk Ostby</t>
  </si>
  <si>
    <t>Mark Fergus</t>
  </si>
  <si>
    <t>맷 홀로웨이</t>
    <phoneticPr fontId="1" type="noConversion"/>
  </si>
  <si>
    <t>아트 마컴</t>
  </si>
  <si>
    <t>존 파브로</t>
  </si>
  <si>
    <t>원피스필름레드포스터URL</t>
    <phoneticPr fontId="1" type="noConversion"/>
  </si>
  <si>
    <t>세 사람의 과거가 그녀의 노랫소리와 함께 밝혀진다!</t>
    <phoneticPr fontId="1" type="noConversion"/>
  </si>
  <si>
    <t>오직 목소리 하나로 전 세계를 사로잡은 디바 ‘우타’. 그녀가 모습을 드러내는 첫 라이브 콘서트가 음악의 섬 ‘엘레지아’에서 열리고 ‘루피’가 이끄는 밀짚모자 해적단과 함께 수많은 ‘우타’ 팬들로 공연장은 가득 찬다. 그리고 이 콘서트를 둘러싼 해적들과 해군들의 수상한 움직임이 시작되는데… 드디어 전세계가 애타게 기다리던 ‘우타’의 등장과 함께 노래가 울려 퍼지고, 그녀가 ‘샹크스의 딸’이라는 충격적인 사실이 드러난다. ‘루피’, ‘우타’, ‘샹크스’, 세 사람의 과거가 그녀의 노랫소리와 함께 밝혀진다! 여기에서</t>
    <phoneticPr fontId="1" type="noConversion"/>
  </si>
  <si>
    <t>ONE PIECE FILM RED</t>
  </si>
  <si>
    <t>타나카 마유미</t>
  </si>
  <si>
    <t>나카이 카즈야</t>
  </si>
  <si>
    <t>이케다 슈이치</t>
  </si>
  <si>
    <t>나즈카 카오리</t>
  </si>
  <si>
    <t>오카무라 아케미</t>
    <phoneticPr fontId="1" type="noConversion"/>
  </si>
  <si>
    <t>야마구치 캇페이</t>
  </si>
  <si>
    <t>히라타 히로아키</t>
  </si>
  <si>
    <t>오오타니 이쿠에</t>
  </si>
  <si>
    <t>야마구치 유리코</t>
  </si>
  <si>
    <t>Monkey D. Luffy (voice)</t>
  </si>
  <si>
    <t>Roronoa Zoro (voice)</t>
  </si>
  <si>
    <t>Shanks (voice)</t>
  </si>
  <si>
    <t>Uta (voice)</t>
  </si>
  <si>
    <t>Nami (voice)</t>
  </si>
  <si>
    <t>Usopp (voice)</t>
  </si>
  <si>
    <t>Sanji (voice)</t>
  </si>
  <si>
    <t>Tony Tony Chopper (voice)</t>
  </si>
  <si>
    <t>Nico Robin (voice)</t>
  </si>
  <si>
    <t>Goro Taniguchi</t>
  </si>
  <si>
    <t>Tsutomu Kuroiwa</t>
  </si>
  <si>
    <t>과속스캔들포스터URL</t>
    <phoneticPr fontId="1" type="noConversion"/>
  </si>
  <si>
    <t>과속스캔들</t>
  </si>
  <si>
    <t>스물두살 딸, 여섯살 손자... 잘나가는 서른여섯 싱글라이프가 무너진다!</t>
    <phoneticPr fontId="1" type="noConversion"/>
  </si>
  <si>
    <t>한때 아이돌 스타로 10대 소녀 팬들의 영원한 우상이었던 남현수. 지금은 서른 중반의 나이지만, 그래도 아직까지는 잘나가는 연예인이자, 청취율 1위의 인기 라디오 DJ. 어느 날 애청자를 자처하며 하루도 빠짐없이 라디오에 사연을 보내오던 황정남이 느닷없이 찾아와 자신이 현수가 과속해서 낳은 딸이라며 바득바득 우겨대기 시작하는데!! 그것도 애까지 달고 나타나서…… 집은 물론 현수의 나와바리인 방송국까지. 어디든 물불 안 가리고 쫓아다니는 스토커 정남으로 인해 완벽했던 인생에 태클 한방 제대로 걸린 현수. 설상가상 안 그래도 머리 복잡한 그에게 정남과 스캔들까지 휩싸이게 되는데… 나 이제, 이거 한방 터지면 정말 끝이다! 끝!!</t>
    <phoneticPr fontId="1" type="noConversion"/>
  </si>
  <si>
    <t>차태현</t>
    <phoneticPr fontId="1" type="noConversion"/>
  </si>
  <si>
    <t>박보영</t>
    <phoneticPr fontId="1" type="noConversion"/>
  </si>
  <si>
    <t>Wang Seok-hyeon</t>
  </si>
  <si>
    <t>황우슬혜</t>
  </si>
  <si>
    <t>임지규</t>
  </si>
  <si>
    <t>임승대</t>
  </si>
  <si>
    <t>정원중</t>
  </si>
  <si>
    <t>김기방</t>
  </si>
  <si>
    <t>박영서</t>
  </si>
  <si>
    <t>Nam Hyeon-soo</t>
  </si>
  <si>
    <t>Hwang Jeong-nam</t>
  </si>
  <si>
    <t>Hwang Ki-dong</t>
  </si>
  <si>
    <t>Jo Mo</t>
  </si>
  <si>
    <t>Park Sang-yoon</t>
    <phoneticPr fontId="1" type="noConversion"/>
  </si>
  <si>
    <t>Bong Pil-joong</t>
  </si>
  <si>
    <t>Bureau Director</t>
  </si>
  <si>
    <t>Assistant Director</t>
  </si>
  <si>
    <t>강형철</t>
  </si>
  <si>
    <r>
      <t>원피스 필름 레드</t>
    </r>
    <r>
      <rPr>
        <sz val="11"/>
        <color theme="1"/>
        <rFont val="맑은 고딕"/>
        <family val="3"/>
        <charset val="129"/>
        <scheme val="minor"/>
      </rPr>
      <t> </t>
    </r>
  </si>
  <si>
    <t>영화 아이디 - PREFIX(2자리)-YYYYMMDD-일련번호(6자리)</t>
    <phoneticPr fontId="1" type="noConversion"/>
  </si>
  <si>
    <t>MV-20260226-000001</t>
  </si>
  <si>
    <t>MV-20260226-000001</t>
    <phoneticPr fontId="1" type="noConversion"/>
  </si>
  <si>
    <t>MV-20260226-000002</t>
  </si>
  <si>
    <t>MV-20260226-000003</t>
  </si>
  <si>
    <t>MV-20260226-000004</t>
  </si>
  <si>
    <t>MV-20260226-000005</t>
  </si>
  <si>
    <t>MV-20260226-000006</t>
  </si>
  <si>
    <t>MV-20260226-000007</t>
  </si>
  <si>
    <t>MV-20260226-000008</t>
  </si>
  <si>
    <t>MV-20260226-000009</t>
  </si>
  <si>
    <t>MV-20260226-000010</t>
  </si>
  <si>
    <t>분류 아이디</t>
    <phoneticPr fontId="1" type="noConversion"/>
  </si>
  <si>
    <t>CT-20260226-000001</t>
  </si>
  <si>
    <t>CT-20260226-000001</t>
    <phoneticPr fontId="1" type="noConversion"/>
  </si>
  <si>
    <t>CT-20260226-000002</t>
  </si>
  <si>
    <t>CT-20260226-000003</t>
  </si>
  <si>
    <t>CT-20260226-000004</t>
  </si>
  <si>
    <t>CT-20260226-000005</t>
  </si>
  <si>
    <t>CT-20260226-000006</t>
  </si>
  <si>
    <t>CT-20260226-000007</t>
  </si>
  <si>
    <t>CT-20260226-000008</t>
  </si>
  <si>
    <t>CT-20260226-000009</t>
  </si>
  <si>
    <t>장르 아이디</t>
    <phoneticPr fontId="1" type="noConversion"/>
  </si>
  <si>
    <t>GN-20260226-000001</t>
    <phoneticPr fontId="1" type="noConversion"/>
  </si>
  <si>
    <t>GN-20260226-000002</t>
  </si>
  <si>
    <t>GN-20260226-000003</t>
  </si>
  <si>
    <t>GN-20260226-000004</t>
  </si>
  <si>
    <t>GN-20260226-000005</t>
  </si>
  <si>
    <t>GN-20260226-000006</t>
  </si>
  <si>
    <t>GN-20260226-000007</t>
  </si>
  <si>
    <t>GN-20260226-000008</t>
  </si>
  <si>
    <t>GN-20260226-000009</t>
  </si>
  <si>
    <t>GN-20260226-000010</t>
  </si>
  <si>
    <t>GN-20260226-000011</t>
  </si>
  <si>
    <t>GN-20260226-000012</t>
  </si>
  <si>
    <t>GN-20260226-000013</t>
  </si>
  <si>
    <t>GN-20260226-000014</t>
  </si>
  <si>
    <t>GN-20260226-000015</t>
  </si>
  <si>
    <t>GN-20260226-000016</t>
  </si>
  <si>
    <t>GN-20260226-000017</t>
  </si>
  <si>
    <t>GN-20260226-000018</t>
  </si>
  <si>
    <t>GN-20260226-000019</t>
  </si>
  <si>
    <t>GN-20260226-000020</t>
  </si>
  <si>
    <t>GN-20260226-000021</t>
  </si>
  <si>
    <t>GN-20260226-000022</t>
  </si>
  <si>
    <t>GN-20260226-000023</t>
  </si>
  <si>
    <t>GN-20260226-000024</t>
  </si>
  <si>
    <t>GN-20260226-000025</t>
  </si>
  <si>
    <t>GN-20260226-000026</t>
  </si>
  <si>
    <t>GN-20260226-000027</t>
  </si>
  <si>
    <t>GN-20260226-000028</t>
  </si>
  <si>
    <t>GN-20260226-000029</t>
  </si>
  <si>
    <t>GN-20260226-000030</t>
  </si>
  <si>
    <t>GN-20260226-000031</t>
  </si>
  <si>
    <t>GN-20260226-000032</t>
  </si>
  <si>
    <t>PD-20260226-000001</t>
  </si>
  <si>
    <t>PD-20260226-000001</t>
    <phoneticPr fontId="1" type="noConversion"/>
  </si>
  <si>
    <t>PD-20260226-000002</t>
  </si>
  <si>
    <t>PD-20260226-000003</t>
  </si>
  <si>
    <t>PD-20260226-000004</t>
  </si>
  <si>
    <t>PD-20260226-000005</t>
  </si>
  <si>
    <t>PD-20260226-000006</t>
  </si>
  <si>
    <t>PD-20260226-000007</t>
  </si>
  <si>
    <t>PD-20260226-000008</t>
  </si>
  <si>
    <t>PD-20260226-000009</t>
  </si>
  <si>
    <t>PD-20260226-000010</t>
  </si>
  <si>
    <t>PD-20260226-000011</t>
  </si>
  <si>
    <t>PD-20260226-000012</t>
  </si>
  <si>
    <t>PD-20260226-000013</t>
  </si>
  <si>
    <t>PD-20260226-000014</t>
  </si>
  <si>
    <t>PD-20260226-000015</t>
  </si>
  <si>
    <t>PD-20260226-000016</t>
  </si>
  <si>
    <t>PD-20260226-000017</t>
  </si>
  <si>
    <t>PD-20260226-000018</t>
  </si>
  <si>
    <t>PD-20260226-000019</t>
  </si>
  <si>
    <t>PD-20260226-000020</t>
  </si>
  <si>
    <t>PD-20260226-000021</t>
  </si>
  <si>
    <t>PD-20260226-000022</t>
  </si>
  <si>
    <t>PD-20260226-000023</t>
  </si>
  <si>
    <t>PD-20260226-000024</t>
  </si>
  <si>
    <t>PD-20260226-000025</t>
  </si>
  <si>
    <t>MK-20260226-000001</t>
    <phoneticPr fontId="1" type="noConversion"/>
  </si>
  <si>
    <t>MK-20260226-000002</t>
  </si>
  <si>
    <t>MK-20260226-000003</t>
  </si>
  <si>
    <t>MK-20260226-000004</t>
  </si>
  <si>
    <t>MK-20260226-000005</t>
  </si>
  <si>
    <t>MK-20260226-000006</t>
  </si>
  <si>
    <t>MK-20260226-000007</t>
  </si>
  <si>
    <t>MK-20260226-000008</t>
  </si>
  <si>
    <t>MK-20260226-000009</t>
  </si>
  <si>
    <t>MK-20260226-000010</t>
  </si>
  <si>
    <t>MK-20260226-000011</t>
  </si>
  <si>
    <t>MK-20260226-000012</t>
  </si>
  <si>
    <t>MK-20260226-000013</t>
  </si>
  <si>
    <t>MK-20260226-000014</t>
  </si>
  <si>
    <t>MK-20260226-000015</t>
  </si>
  <si>
    <t>MK-20260226-000016</t>
  </si>
  <si>
    <t>MK-20260226-000017</t>
  </si>
  <si>
    <t>MK-20260226-000018</t>
  </si>
  <si>
    <t>MK-20260226-000019</t>
  </si>
  <si>
    <t>MK-20260226-000020</t>
  </si>
  <si>
    <t>MK-20260226-000021</t>
  </si>
  <si>
    <t>MK-20260226-000022</t>
  </si>
  <si>
    <t>MK-20260226-000023</t>
  </si>
  <si>
    <t>MK-20260226-000024</t>
  </si>
  <si>
    <t>MK-20260226-000025</t>
  </si>
  <si>
    <t>MK-20260226-000026</t>
  </si>
  <si>
    <t>MK-20260226-000027</t>
  </si>
  <si>
    <t>MK-20260226-000028</t>
  </si>
  <si>
    <t>MK-20260226-000029</t>
  </si>
  <si>
    <t>MK-20260226-000030</t>
  </si>
  <si>
    <t>MK-20260226-000031</t>
  </si>
  <si>
    <t>MK-20260226-000032</t>
  </si>
  <si>
    <t>MK-20260226-000033</t>
  </si>
  <si>
    <t>MK-20260226-000034</t>
  </si>
  <si>
    <t>MK-20260226-000035</t>
  </si>
  <si>
    <t>MK-20260226-000036</t>
  </si>
  <si>
    <t>MK-20260226-000037</t>
  </si>
  <si>
    <t>MK-20260226-000038</t>
  </si>
  <si>
    <t>MK-20260226-000039</t>
  </si>
  <si>
    <t>AC-20260226-000001</t>
  </si>
  <si>
    <t>AC-20260226-000001</t>
    <phoneticPr fontId="1" type="noConversion"/>
  </si>
  <si>
    <t>AC-20260226-000002</t>
  </si>
  <si>
    <t>AC-20260226-000003</t>
  </si>
  <si>
    <t>AC-20260226-000004</t>
  </si>
  <si>
    <t>AC-20260226-000005</t>
  </si>
  <si>
    <t>AC-20260226-000006</t>
  </si>
  <si>
    <t>AC-20260226-000007</t>
  </si>
  <si>
    <t>AC-20260226-000008</t>
  </si>
  <si>
    <t>AC-20260226-000009</t>
  </si>
  <si>
    <t>AC-20260226-000010</t>
  </si>
  <si>
    <t>AC-20260226-000011</t>
  </si>
  <si>
    <t>AC-20260226-000012</t>
  </si>
  <si>
    <t>AC-20260226-000013</t>
  </si>
  <si>
    <t>AC-20260226-000014</t>
  </si>
  <si>
    <t>AC-20260226-000015</t>
  </si>
  <si>
    <t>AC-20260226-000016</t>
  </si>
  <si>
    <t>AC-20260226-000017</t>
  </si>
  <si>
    <t>AC-20260226-000018</t>
  </si>
  <si>
    <t>AC-20260226-000019</t>
  </si>
  <si>
    <t>AC-20260226-000020</t>
  </si>
  <si>
    <t>AC-20260226-000021</t>
  </si>
  <si>
    <t>AC-20260226-000022</t>
  </si>
  <si>
    <t>AC-20260226-000023</t>
  </si>
  <si>
    <t>AC-20260226-000024</t>
  </si>
  <si>
    <t>AC-20260226-000025</t>
  </si>
  <si>
    <t>AC-20260226-000026</t>
  </si>
  <si>
    <t>AC-20260226-000027</t>
  </si>
  <si>
    <t>AC-20260226-000028</t>
  </si>
  <si>
    <t>AC-20260226-000029</t>
  </si>
  <si>
    <t>AC-20260226-000030</t>
  </si>
  <si>
    <t>AC-20260226-000031</t>
  </si>
  <si>
    <t>AC-20260226-000032</t>
  </si>
  <si>
    <t>AC-20260226-000033</t>
  </si>
  <si>
    <t>AC-20260226-000034</t>
  </si>
  <si>
    <t>AC-20260226-000035</t>
  </si>
  <si>
    <t>AC-20260226-000036</t>
  </si>
  <si>
    <t>AC-20260226-000037</t>
  </si>
  <si>
    <t>AC-20260226-000038</t>
  </si>
  <si>
    <t>AC-20260226-000039</t>
  </si>
  <si>
    <t>AC-20260226-000040</t>
  </si>
  <si>
    <t>AC-20260226-000041</t>
  </si>
  <si>
    <t>AC-20260226-000042</t>
  </si>
  <si>
    <t>AC-20260226-000043</t>
  </si>
  <si>
    <t>AC-20260226-000044</t>
  </si>
  <si>
    <t>AC-20260226-000045</t>
  </si>
  <si>
    <t>AC-20260226-000046</t>
  </si>
  <si>
    <t>AC-20260226-000047</t>
  </si>
  <si>
    <t>AC-20260226-000048</t>
  </si>
  <si>
    <t>AC-20260226-000049</t>
  </si>
  <si>
    <t>AC-20260226-000050</t>
  </si>
  <si>
    <t>AC-20260226-000051</t>
  </si>
  <si>
    <t>AC-20260226-000052</t>
  </si>
  <si>
    <t>AC-20260226-000053</t>
  </si>
  <si>
    <t>AC-20260226-000054</t>
  </si>
  <si>
    <t>AC-20260226-000055</t>
  </si>
  <si>
    <t>AC-20260226-000056</t>
  </si>
  <si>
    <t>AC-20260226-000057</t>
  </si>
  <si>
    <t>AC-20260226-000058</t>
  </si>
  <si>
    <t>AC-20260226-000059</t>
  </si>
  <si>
    <t>AC-20260226-000060</t>
  </si>
  <si>
    <t>AC-20260226-000061</t>
  </si>
  <si>
    <t>AC-20260226-000062</t>
  </si>
  <si>
    <t>AC-20260226-000063</t>
  </si>
  <si>
    <t>AC-20260226-000064</t>
  </si>
  <si>
    <t>AC-20260226-000065</t>
  </si>
  <si>
    <t>AC-20260226-000066</t>
  </si>
  <si>
    <t>AC-20260226-000067</t>
  </si>
  <si>
    <t>AC-20260226-000068</t>
  </si>
  <si>
    <t>AC-20260226-000069</t>
  </si>
  <si>
    <t>AC-20260226-000070</t>
  </si>
  <si>
    <t>AC-20260226-000071</t>
  </si>
  <si>
    <t>AC-20260226-000072</t>
  </si>
  <si>
    <t>AC-20260226-000073</t>
  </si>
  <si>
    <t>AC-20260226-000074</t>
  </si>
  <si>
    <t>AC-20260226-000075</t>
  </si>
  <si>
    <t>AC-20260226-000076</t>
  </si>
  <si>
    <t>AC-20260226-000077</t>
  </si>
  <si>
    <t>AC-20260226-000078</t>
  </si>
  <si>
    <t>AC-20260226-000079</t>
  </si>
  <si>
    <t>AC-20260226-000080</t>
  </si>
  <si>
    <t>AC-20260226-000081</t>
  </si>
  <si>
    <t>출연 아이디</t>
    <phoneticPr fontId="1" type="noConversion"/>
  </si>
  <si>
    <t>AP-20260226-000001</t>
    <phoneticPr fontId="1" type="noConversion"/>
  </si>
  <si>
    <t>AP-20260226-000002</t>
  </si>
  <si>
    <t>AP-20260226-000003</t>
  </si>
  <si>
    <t>AP-20260226-000004</t>
  </si>
  <si>
    <t>AP-20260226-000005</t>
  </si>
  <si>
    <t>AP-20260226-000006</t>
  </si>
  <si>
    <t>AP-20260226-000007</t>
  </si>
  <si>
    <t>AP-20260226-000008</t>
  </si>
  <si>
    <t>AP-20260226-000009</t>
  </si>
  <si>
    <t>AP-20260226-000010</t>
  </si>
  <si>
    <t>AP-20260226-000011</t>
  </si>
  <si>
    <t>AP-20260226-000012</t>
  </si>
  <si>
    <t>AP-20260226-000013</t>
  </si>
  <si>
    <t>AP-20260226-000014</t>
  </si>
  <si>
    <t>AP-20260226-000015</t>
  </si>
  <si>
    <t>AP-20260226-000016</t>
  </si>
  <si>
    <t>AP-20260226-000017</t>
  </si>
  <si>
    <t>AP-20260226-000018</t>
  </si>
  <si>
    <t>AP-20260226-000019</t>
  </si>
  <si>
    <t>AP-20260226-000020</t>
  </si>
  <si>
    <t>AP-20260226-000021</t>
  </si>
  <si>
    <t>AP-20260226-000022</t>
  </si>
  <si>
    <t>AP-20260226-000023</t>
  </si>
  <si>
    <t>AP-20260226-000024</t>
  </si>
  <si>
    <t>AP-20260226-000025</t>
  </si>
  <si>
    <t>AP-20260226-000026</t>
  </si>
  <si>
    <t>AP-20260226-000027</t>
  </si>
  <si>
    <t>AP-20260226-000028</t>
  </si>
  <si>
    <t>AP-20260226-000029</t>
  </si>
  <si>
    <t>AP-20260226-000030</t>
  </si>
  <si>
    <t>AP-20260226-000031</t>
  </si>
  <si>
    <t>AP-20260226-000032</t>
  </si>
  <si>
    <t>AP-20260226-000033</t>
  </si>
  <si>
    <t>AP-20260226-000034</t>
  </si>
  <si>
    <t>AP-20260226-000035</t>
  </si>
  <si>
    <t>AP-20260226-000036</t>
  </si>
  <si>
    <t>AP-20260226-000037</t>
  </si>
  <si>
    <t>AP-20260226-000038</t>
  </si>
  <si>
    <t>AP-20260226-000039</t>
  </si>
  <si>
    <t>AP-20260226-000040</t>
  </si>
  <si>
    <t>AP-20260226-000041</t>
  </si>
  <si>
    <t>AP-20260226-000042</t>
  </si>
  <si>
    <t>AP-20260226-000043</t>
  </si>
  <si>
    <t>AP-20260226-000044</t>
  </si>
  <si>
    <t>AP-20260226-000045</t>
  </si>
  <si>
    <t>AP-20260226-000046</t>
  </si>
  <si>
    <t>AP-20260226-000047</t>
  </si>
  <si>
    <t>AP-20260226-000048</t>
  </si>
  <si>
    <t>AP-20260226-000049</t>
  </si>
  <si>
    <t>AP-20260226-000050</t>
  </si>
  <si>
    <t>AP-20260226-000051</t>
  </si>
  <si>
    <t>AP-20260226-000052</t>
  </si>
  <si>
    <t>AP-20260226-000053</t>
  </si>
  <si>
    <t>AP-20260226-000054</t>
  </si>
  <si>
    <t>AP-20260226-000055</t>
  </si>
  <si>
    <t>AP-20260226-000056</t>
  </si>
  <si>
    <t>AP-20260226-000057</t>
  </si>
  <si>
    <t>AP-20260226-000058</t>
  </si>
  <si>
    <t>AP-20260226-000059</t>
  </si>
  <si>
    <t>AP-20260226-000060</t>
  </si>
  <si>
    <t>AP-20260226-000061</t>
  </si>
  <si>
    <t>AP-20260226-000062</t>
  </si>
  <si>
    <t>AP-20260226-000063</t>
  </si>
  <si>
    <t>AP-20260226-000064</t>
  </si>
  <si>
    <t>AP-20260226-000065</t>
  </si>
  <si>
    <t>AP-20260226-000066</t>
  </si>
  <si>
    <t>AP-20260226-000067</t>
  </si>
  <si>
    <t>AP-20260226-000068</t>
  </si>
  <si>
    <t>AP-20260226-000069</t>
  </si>
  <si>
    <t>AP-20260226-000070</t>
  </si>
  <si>
    <t>AP-20260226-000071</t>
  </si>
  <si>
    <t>AP-20260226-000072</t>
  </si>
  <si>
    <t>AP-20260226-000073</t>
  </si>
  <si>
    <t>AP-20260226-000074</t>
  </si>
  <si>
    <t>AP-20260226-000075</t>
  </si>
  <si>
    <t>AP-20260226-000076</t>
  </si>
  <si>
    <t>AP-20260226-000077</t>
  </si>
  <si>
    <t>AP-20260226-000078</t>
  </si>
  <si>
    <t>AP-20260226-000079</t>
  </si>
  <si>
    <t>AP-20260226-000080</t>
  </si>
  <si>
    <t>AP-20260226-000081</t>
  </si>
  <si>
    <t>AP-20260226-000082</t>
  </si>
  <si>
    <t>AP-20260226-000083</t>
  </si>
  <si>
    <t>AP-20260226-000084</t>
  </si>
  <si>
    <t>AP-20260226-000085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</si>
</sst>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6" formatCode="\$#,##0.00_);[Red]\(\$#,##0.00\)"/>
  </numFmts>
  <fonts count="10"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color theme="1"/>
      <name val="Arial"/>
      <family val="2"/>
    </font>
    <font>
      <sz val="12"/>
      <color theme="1"/>
      <name val="Arial"/>
      <family val="2"/>
    </font>
    <font>
      <sz val="12"/>
      <color rgb="FF000000"/>
      <name val="Arial"/>
      <family val="2"/>
    </font>
    <font>
      <sz val="11"/>
      <color rgb="FF000000"/>
      <name val="Arial"/>
      <family val="2"/>
    </font>
    <font>
      <sz val="11"/>
      <color theme="1"/>
      <name val="맑은 고딕"/>
      <family val="2"/>
      <charset val="129"/>
    </font>
    <font>
      <sz val="12"/>
      <color rgb="FF000000"/>
      <name val="맑은 고딕"/>
      <family val="3"/>
      <charset val="129"/>
    </font>
    <font>
      <sz val="11"/>
      <color rgb="FF000000"/>
      <name val="맑은 고딕"/>
      <family val="3"/>
      <charset val="129"/>
      <scheme val="minor"/>
    </font>
  </fonts>
  <fills count="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F68282"/>
        <bgColor indexed="64"/>
      </patternFill>
    </fill>
  </fills>
  <borders count="1">
    <border>
      <left/>
      <right/>
      <top/>
      <bottom/>
      <diagonal/>
    </border>
  </borders>
  <cellStyleXfs count="1">
    <xf numFmtId="0" fontId="0" fillId="0" borderId="0">
      <alignment vertical="center"/>
    </xf>
  </cellStyleXfs>
  <cellXfs count="23">
    <xf numFmtId="0" fontId="0" fillId="0" borderId="0" xfId="0">
      <alignment vertical="center"/>
    </xf>
    <xf numFmtId="0" fontId="3" fillId="0" borderId="0" xfId="0" applyFont="1">
      <alignment vertical="center"/>
    </xf>
    <xf numFmtId="0" fontId="0" fillId="0" borderId="0" xfId="0" applyFill="1">
      <alignment vertical="center"/>
    </xf>
    <xf numFmtId="0" fontId="2" fillId="0" borderId="0" xfId="0" applyFont="1">
      <alignment vertical="center"/>
    </xf>
    <xf numFmtId="0" fontId="4" fillId="0" borderId="0" xfId="0" applyFont="1">
      <alignment vertical="center"/>
    </xf>
    <xf numFmtId="0" fontId="5" fillId="0" borderId="0" xfId="0" applyFont="1">
      <alignment vertical="center"/>
    </xf>
    <xf numFmtId="14" fontId="0" fillId="0" borderId="0" xfId="0" applyNumberFormat="1">
      <alignment vertical="center"/>
    </xf>
    <xf numFmtId="14" fontId="4" fillId="0" borderId="0" xfId="0" applyNumberFormat="1" applyFont="1">
      <alignment vertical="center"/>
    </xf>
    <xf numFmtId="0" fontId="0" fillId="2" borderId="0" xfId="0" applyFill="1">
      <alignment vertical="center"/>
    </xf>
    <xf numFmtId="0" fontId="6" fillId="0" borderId="0" xfId="0" applyFont="1">
      <alignment vertical="center"/>
    </xf>
    <xf numFmtId="0" fontId="0" fillId="3" borderId="0" xfId="0" applyFill="1">
      <alignment vertical="center"/>
    </xf>
    <xf numFmtId="0" fontId="5" fillId="0" borderId="0" xfId="0" applyFont="1" applyAlignment="1">
      <alignment vertical="center" wrapText="1"/>
    </xf>
    <xf numFmtId="0" fontId="7" fillId="0" borderId="0" xfId="0" applyFont="1">
      <alignment vertical="center"/>
    </xf>
    <xf numFmtId="0" fontId="8" fillId="0" borderId="0" xfId="0" applyFont="1">
      <alignment vertical="center"/>
    </xf>
    <xf numFmtId="26" fontId="0" fillId="0" borderId="0" xfId="0" applyNumberFormat="1" applyAlignment="1">
      <alignment vertical="center" wrapText="1"/>
    </xf>
    <xf numFmtId="26" fontId="5" fillId="0" borderId="0" xfId="0" applyNumberFormat="1" applyFont="1" applyAlignment="1">
      <alignment vertical="center" wrapText="1"/>
    </xf>
    <xf numFmtId="26" fontId="2" fillId="0" borderId="0" xfId="0" applyNumberFormat="1" applyFont="1">
      <alignment vertical="center"/>
    </xf>
    <xf numFmtId="0" fontId="0" fillId="4" borderId="0" xfId="0" applyFill="1">
      <alignment vertical="center"/>
    </xf>
    <xf numFmtId="0" fontId="0" fillId="5" borderId="0" xfId="0" applyFill="1">
      <alignment vertical="center"/>
    </xf>
    <xf numFmtId="14" fontId="5" fillId="0" borderId="0" xfId="0" applyNumberFormat="1" applyFont="1">
      <alignment vertical="center"/>
    </xf>
    <xf numFmtId="0" fontId="2" fillId="0" borderId="0" xfId="0" applyFont="1" applyAlignment="1">
      <alignment vertical="center"/>
    </xf>
    <xf numFmtId="0" fontId="9" fillId="0" borderId="0" xfId="0" applyFont="1" applyAlignment="1">
      <alignment vertical="center"/>
    </xf>
    <xf numFmtId="0" fontId="9" fillId="0" borderId="0" xfId="0" applyFont="1" applyAlignment="1">
      <alignment vertical="center" wrapText="1"/>
    </xf>
  </cellXfs>
  <cellStyles count="1">
    <cellStyle name="표준" xfId="0" builtinId="0"/>
  </cellStyles>
  <dxfs count="0"/>
  <tableStyles count="0" defaultTableStyle="TableStyleMedium2" defaultPivotStyle="PivotStyleLight16"/>
  <colors>
    <mruColors>
      <color rgb="FFF682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397C-40B8-4470-8909-47059D6B9B31}">
  <dimension ref="A1:X12"/>
  <sheetViews>
    <sheetView tabSelected="1" workbookViewId="0">
      <selection activeCell="M4" sqref="M4"/>
    </sheetView>
  </sheetViews>
  <sheetFormatPr defaultRowHeight="16.5" x14ac:dyDescent="0.3"/>
  <cols>
    <col min="1" max="1" width="20.375" style="8" customWidth="1"/>
    <col min="2" max="2" width="5.375" style="8" customWidth="1"/>
    <col min="3" max="3" width="14.75" customWidth="1"/>
    <col min="4" max="4" width="6.5" customWidth="1"/>
    <col min="5" max="5" width="36.75" customWidth="1"/>
    <col min="6" max="6" width="6.625" customWidth="1"/>
    <col min="9" max="9" width="12.125" bestFit="1" customWidth="1"/>
    <col min="13" max="13" width="44.125" customWidth="1"/>
    <col min="14" max="14" width="5.25" customWidth="1"/>
    <col min="15" max="15" width="27.375" customWidth="1"/>
    <col min="16" max="16" width="7.375" customWidth="1"/>
    <col min="17" max="17" width="22.5" customWidth="1"/>
    <col min="18" max="18" width="5.5" customWidth="1"/>
    <col min="19" max="19" width="14.25" customWidth="1"/>
    <col min="20" max="20" width="4.5" customWidth="1"/>
    <col min="22" max="22" width="4.5" customWidth="1"/>
    <col min="23" max="23" width="18" bestFit="1" customWidth="1"/>
    <col min="24" max="24" width="14.75" bestFit="1" customWidth="1"/>
  </cols>
  <sheetData>
    <row r="1" spans="1:24" x14ac:dyDescent="0.3">
      <c r="A1" s="8" t="s">
        <v>302</v>
      </c>
      <c r="C1" t="s">
        <v>15</v>
      </c>
      <c r="E1" t="s">
        <v>16</v>
      </c>
      <c r="G1" t="s">
        <v>17</v>
      </c>
      <c r="I1" t="s">
        <v>18</v>
      </c>
      <c r="J1" t="s">
        <v>19</v>
      </c>
      <c r="L1" t="s">
        <v>20</v>
      </c>
      <c r="M1" t="s">
        <v>12</v>
      </c>
      <c r="O1" t="s">
        <v>11</v>
      </c>
      <c r="Q1" t="s">
        <v>41</v>
      </c>
      <c r="S1" t="s">
        <v>42</v>
      </c>
      <c r="U1" t="s">
        <v>43</v>
      </c>
      <c r="W1" t="s">
        <v>44</v>
      </c>
      <c r="X1" t="s">
        <v>45</v>
      </c>
    </row>
    <row r="2" spans="1:24" ht="19.5" customHeight="1" x14ac:dyDescent="0.3">
      <c r="A2" s="8" t="s">
        <v>304</v>
      </c>
      <c r="B2" s="8">
        <f>LEN(A2)</f>
        <v>18</v>
      </c>
      <c r="C2" t="s">
        <v>85</v>
      </c>
      <c r="D2">
        <f>LEN(C2)</f>
        <v>9</v>
      </c>
      <c r="E2" s="2" t="s">
        <v>23</v>
      </c>
      <c r="F2" s="2">
        <f>LEN(E2)</f>
        <v>10</v>
      </c>
      <c r="G2">
        <v>12</v>
      </c>
      <c r="H2">
        <f>LEN(G2)</f>
        <v>2</v>
      </c>
      <c r="I2" s="7">
        <v>45961</v>
      </c>
      <c r="J2" t="s">
        <v>24</v>
      </c>
      <c r="K2">
        <f>LEN(J2)</f>
        <v>2</v>
      </c>
      <c r="L2">
        <v>96</v>
      </c>
      <c r="M2" t="s">
        <v>55</v>
      </c>
      <c r="N2">
        <f>LEN(M2)</f>
        <v>42</v>
      </c>
      <c r="O2" s="4" t="s">
        <v>13</v>
      </c>
      <c r="P2" s="4">
        <f>LEN(O2)</f>
        <v>103</v>
      </c>
      <c r="Q2" s="11" t="s">
        <v>46</v>
      </c>
      <c r="R2" s="11">
        <f>LEN(Q2)</f>
        <v>18</v>
      </c>
      <c r="S2" s="12" t="s">
        <v>48</v>
      </c>
      <c r="T2" s="12">
        <f>LEN(S2)</f>
        <v>3</v>
      </c>
      <c r="U2" s="13" t="s">
        <v>50</v>
      </c>
      <c r="V2" s="13">
        <f>LEN(U2)</f>
        <v>2</v>
      </c>
      <c r="W2" s="15">
        <v>100000000</v>
      </c>
      <c r="X2" s="16">
        <v>24690793</v>
      </c>
    </row>
    <row r="3" spans="1:24" ht="17.25" x14ac:dyDescent="0.3">
      <c r="A3" s="8" t="s">
        <v>305</v>
      </c>
      <c r="B3" s="8">
        <f t="shared" ref="B3:B11" si="0">LEN(A3)</f>
        <v>18</v>
      </c>
      <c r="C3" t="s">
        <v>86</v>
      </c>
      <c r="D3">
        <f t="shared" ref="D3:D11" si="1">LEN(C3)</f>
        <v>8</v>
      </c>
      <c r="E3" t="s">
        <v>82</v>
      </c>
      <c r="F3" s="2">
        <f t="shared" ref="F3:F11" si="2">LEN(E3)</f>
        <v>3</v>
      </c>
      <c r="G3" t="s">
        <v>83</v>
      </c>
      <c r="H3">
        <f t="shared" ref="H3:H11" si="3">LEN(G3)</f>
        <v>1</v>
      </c>
      <c r="I3" s="6">
        <v>23952</v>
      </c>
      <c r="J3" t="s">
        <v>84</v>
      </c>
      <c r="K3">
        <f t="shared" ref="K3:K11" si="4">LEN(J3)</f>
        <v>2</v>
      </c>
      <c r="L3">
        <v>92</v>
      </c>
      <c r="M3" s="17" t="s">
        <v>54</v>
      </c>
      <c r="N3">
        <f t="shared" ref="N3:N11" si="5">LEN(M3)</f>
        <v>35</v>
      </c>
      <c r="O3" s="5" t="s">
        <v>52</v>
      </c>
      <c r="P3" s="4">
        <f t="shared" ref="P3:P11" si="6">LEN(O3)</f>
        <v>50</v>
      </c>
      <c r="Q3" s="11" t="s">
        <v>53</v>
      </c>
      <c r="R3" s="11">
        <f t="shared" ref="R3:R11" si="7">LEN(Q3)</f>
        <v>5</v>
      </c>
      <c r="S3" s="12" t="s">
        <v>48</v>
      </c>
      <c r="T3" s="12">
        <f t="shared" ref="T3:T11" si="8">LEN(S3)</f>
        <v>3</v>
      </c>
      <c r="U3" s="13" t="s">
        <v>50</v>
      </c>
      <c r="V3" s="13">
        <f t="shared" ref="V3:V11" si="9">LEN(U3)</f>
        <v>2</v>
      </c>
      <c r="W3" s="14">
        <v>1500000</v>
      </c>
      <c r="X3" s="18"/>
    </row>
    <row r="4" spans="1:24" ht="17.25" x14ac:dyDescent="0.3">
      <c r="A4" s="8" t="s">
        <v>306</v>
      </c>
      <c r="B4" s="8">
        <f t="shared" si="0"/>
        <v>18</v>
      </c>
      <c r="C4" t="s">
        <v>87</v>
      </c>
      <c r="D4">
        <f t="shared" si="1"/>
        <v>10</v>
      </c>
      <c r="E4" s="2" t="s">
        <v>21</v>
      </c>
      <c r="F4" s="2">
        <f t="shared" si="2"/>
        <v>34</v>
      </c>
      <c r="G4" s="18"/>
      <c r="H4">
        <f t="shared" si="3"/>
        <v>0</v>
      </c>
      <c r="I4" s="18"/>
      <c r="J4" s="18"/>
      <c r="K4">
        <f t="shared" si="4"/>
        <v>0</v>
      </c>
      <c r="L4" s="18"/>
      <c r="M4" s="18"/>
      <c r="N4">
        <f t="shared" si="5"/>
        <v>0</v>
      </c>
      <c r="O4" s="5" t="s">
        <v>22</v>
      </c>
      <c r="P4" s="4">
        <f t="shared" si="6"/>
        <v>50</v>
      </c>
      <c r="Q4" s="18"/>
      <c r="R4" s="11">
        <f t="shared" si="7"/>
        <v>0</v>
      </c>
      <c r="S4" s="17" t="s">
        <v>51</v>
      </c>
      <c r="T4" s="12">
        <f t="shared" si="8"/>
        <v>5</v>
      </c>
      <c r="U4" s="17" t="s">
        <v>50</v>
      </c>
      <c r="V4" s="13">
        <f t="shared" si="9"/>
        <v>2</v>
      </c>
      <c r="W4" s="18"/>
      <c r="X4" s="18"/>
    </row>
    <row r="5" spans="1:24" ht="17.25" x14ac:dyDescent="0.3">
      <c r="A5" s="8" t="s">
        <v>307</v>
      </c>
      <c r="B5" s="8">
        <f t="shared" si="0"/>
        <v>18</v>
      </c>
      <c r="C5" t="s">
        <v>115</v>
      </c>
      <c r="D5">
        <f t="shared" si="1"/>
        <v>11</v>
      </c>
      <c r="E5" s="2" t="s">
        <v>116</v>
      </c>
      <c r="F5" s="2">
        <f t="shared" si="2"/>
        <v>5</v>
      </c>
      <c r="G5">
        <v>12</v>
      </c>
      <c r="H5">
        <f t="shared" si="3"/>
        <v>2</v>
      </c>
      <c r="I5" s="6">
        <v>41949</v>
      </c>
      <c r="J5" t="s">
        <v>24</v>
      </c>
      <c r="K5">
        <f t="shared" si="4"/>
        <v>2</v>
      </c>
      <c r="L5">
        <v>169</v>
      </c>
      <c r="M5" t="s">
        <v>117</v>
      </c>
      <c r="N5">
        <f t="shared" si="5"/>
        <v>20</v>
      </c>
      <c r="O5" t="s">
        <v>118</v>
      </c>
      <c r="P5" s="4">
        <f t="shared" si="6"/>
        <v>279</v>
      </c>
      <c r="Q5" s="5" t="s">
        <v>119</v>
      </c>
      <c r="R5" s="11">
        <f t="shared" si="7"/>
        <v>12</v>
      </c>
      <c r="S5" s="13" t="s">
        <v>48</v>
      </c>
      <c r="T5" s="12">
        <f t="shared" si="8"/>
        <v>3</v>
      </c>
      <c r="U5" s="5" t="s">
        <v>49</v>
      </c>
      <c r="V5" s="13">
        <f t="shared" si="9"/>
        <v>2</v>
      </c>
      <c r="W5" s="14">
        <v>165000000</v>
      </c>
      <c r="X5" s="16">
        <v>746606706</v>
      </c>
    </row>
    <row r="6" spans="1:24" ht="17.25" x14ac:dyDescent="0.3">
      <c r="A6" s="8" t="s">
        <v>308</v>
      </c>
      <c r="B6" s="8">
        <f t="shared" si="0"/>
        <v>18</v>
      </c>
      <c r="C6" t="s">
        <v>144</v>
      </c>
      <c r="D6">
        <f t="shared" si="1"/>
        <v>20</v>
      </c>
      <c r="E6" s="2" t="s">
        <v>145</v>
      </c>
      <c r="F6" s="2">
        <f t="shared" si="2"/>
        <v>12</v>
      </c>
      <c r="G6" t="s">
        <v>146</v>
      </c>
      <c r="H6">
        <f t="shared" si="3"/>
        <v>3</v>
      </c>
      <c r="I6" s="6">
        <v>37435</v>
      </c>
      <c r="J6" t="s">
        <v>24</v>
      </c>
      <c r="K6">
        <f t="shared" si="4"/>
        <v>2</v>
      </c>
      <c r="L6">
        <v>124</v>
      </c>
      <c r="M6" t="s">
        <v>147</v>
      </c>
      <c r="N6">
        <f t="shared" si="5"/>
        <v>14</v>
      </c>
      <c r="O6" t="s">
        <v>148</v>
      </c>
      <c r="P6" s="4">
        <f t="shared" si="6"/>
        <v>302</v>
      </c>
      <c r="Q6" s="5" t="s">
        <v>149</v>
      </c>
      <c r="R6" s="11">
        <f t="shared" si="7"/>
        <v>8</v>
      </c>
      <c r="S6" s="13" t="s">
        <v>48</v>
      </c>
      <c r="T6" s="12">
        <f t="shared" si="8"/>
        <v>3</v>
      </c>
      <c r="U6" s="5" t="s">
        <v>150</v>
      </c>
      <c r="V6" s="13">
        <f t="shared" si="9"/>
        <v>3</v>
      </c>
      <c r="W6" s="15">
        <v>19000000</v>
      </c>
      <c r="X6" s="16">
        <v>274925095</v>
      </c>
    </row>
    <row r="7" spans="1:24" ht="17.25" x14ac:dyDescent="0.3">
      <c r="A7" s="8" t="s">
        <v>309</v>
      </c>
      <c r="B7" s="8">
        <f t="shared" si="0"/>
        <v>18</v>
      </c>
      <c r="C7" t="s">
        <v>171</v>
      </c>
      <c r="D7">
        <f t="shared" si="1"/>
        <v>10</v>
      </c>
      <c r="E7" s="2" t="s">
        <v>172</v>
      </c>
      <c r="F7" s="2">
        <f t="shared" si="2"/>
        <v>4</v>
      </c>
      <c r="G7">
        <v>15</v>
      </c>
      <c r="H7">
        <f t="shared" si="3"/>
        <v>2</v>
      </c>
      <c r="I7" s="6">
        <v>41487</v>
      </c>
      <c r="J7" t="s">
        <v>24</v>
      </c>
      <c r="K7">
        <f t="shared" si="4"/>
        <v>2</v>
      </c>
      <c r="L7">
        <v>127</v>
      </c>
      <c r="M7" t="s">
        <v>173</v>
      </c>
      <c r="N7">
        <f t="shared" si="5"/>
        <v>32</v>
      </c>
      <c r="O7" t="s">
        <v>174</v>
      </c>
      <c r="P7" s="4">
        <f t="shared" si="6"/>
        <v>325</v>
      </c>
      <c r="Q7" s="18"/>
      <c r="R7" s="11">
        <f t="shared" si="7"/>
        <v>0</v>
      </c>
      <c r="S7" s="12" t="s">
        <v>48</v>
      </c>
      <c r="T7" s="12">
        <f t="shared" si="8"/>
        <v>3</v>
      </c>
      <c r="U7" s="12" t="s">
        <v>175</v>
      </c>
      <c r="V7" s="13">
        <f t="shared" si="9"/>
        <v>3</v>
      </c>
      <c r="W7" s="15">
        <v>39200000</v>
      </c>
      <c r="X7" s="16">
        <v>86758912</v>
      </c>
    </row>
    <row r="8" spans="1:24" ht="17.25" x14ac:dyDescent="0.3">
      <c r="A8" s="8" t="s">
        <v>310</v>
      </c>
      <c r="B8" s="8">
        <f t="shared" si="0"/>
        <v>18</v>
      </c>
      <c r="C8" t="s">
        <v>198</v>
      </c>
      <c r="D8">
        <f t="shared" si="1"/>
        <v>13</v>
      </c>
      <c r="E8" s="2" t="s">
        <v>199</v>
      </c>
      <c r="F8" s="2">
        <f t="shared" si="2"/>
        <v>5</v>
      </c>
      <c r="G8">
        <v>12</v>
      </c>
      <c r="H8">
        <f t="shared" si="3"/>
        <v>2</v>
      </c>
      <c r="I8" s="6">
        <v>40772</v>
      </c>
      <c r="J8" t="s">
        <v>24</v>
      </c>
      <c r="K8">
        <f t="shared" si="4"/>
        <v>2</v>
      </c>
      <c r="L8">
        <v>171</v>
      </c>
      <c r="M8" t="s">
        <v>200</v>
      </c>
      <c r="N8">
        <f t="shared" si="5"/>
        <v>20</v>
      </c>
      <c r="O8" t="s">
        <v>201</v>
      </c>
      <c r="P8" s="4">
        <f t="shared" si="6"/>
        <v>236</v>
      </c>
      <c r="Q8" s="5" t="s">
        <v>202</v>
      </c>
      <c r="R8" s="11">
        <f t="shared" si="7"/>
        <v>8</v>
      </c>
      <c r="S8" s="12" t="s">
        <v>48</v>
      </c>
      <c r="T8" s="12">
        <f t="shared" si="8"/>
        <v>3</v>
      </c>
      <c r="U8" s="5" t="s">
        <v>203</v>
      </c>
      <c r="V8" s="13">
        <f t="shared" si="9"/>
        <v>3</v>
      </c>
      <c r="W8" s="15">
        <v>9000000</v>
      </c>
      <c r="X8" s="16">
        <v>70000000</v>
      </c>
    </row>
    <row r="9" spans="1:24" ht="17.25" x14ac:dyDescent="0.3">
      <c r="A9" s="8" t="s">
        <v>311</v>
      </c>
      <c r="B9" s="8">
        <f t="shared" si="0"/>
        <v>18</v>
      </c>
      <c r="C9" t="s">
        <v>227</v>
      </c>
      <c r="D9">
        <f t="shared" si="1"/>
        <v>10</v>
      </c>
      <c r="E9" s="2" t="s">
        <v>228</v>
      </c>
      <c r="F9" s="2">
        <f t="shared" si="2"/>
        <v>4</v>
      </c>
      <c r="G9">
        <v>12</v>
      </c>
      <c r="H9">
        <f t="shared" si="3"/>
        <v>2</v>
      </c>
      <c r="I9" s="6">
        <v>39568</v>
      </c>
      <c r="J9" t="s">
        <v>24</v>
      </c>
      <c r="K9">
        <f t="shared" si="4"/>
        <v>2</v>
      </c>
      <c r="L9">
        <v>125</v>
      </c>
      <c r="M9" t="s">
        <v>229</v>
      </c>
      <c r="N9">
        <f t="shared" si="5"/>
        <v>29</v>
      </c>
      <c r="O9" t="s">
        <v>230</v>
      </c>
      <c r="P9" s="4">
        <f t="shared" si="6"/>
        <v>914</v>
      </c>
      <c r="Q9" s="5" t="s">
        <v>231</v>
      </c>
      <c r="R9" s="11">
        <f t="shared" si="7"/>
        <v>8</v>
      </c>
      <c r="S9" s="5" t="s">
        <v>47</v>
      </c>
      <c r="T9" s="12">
        <f t="shared" si="8"/>
        <v>3</v>
      </c>
      <c r="U9" s="5" t="s">
        <v>49</v>
      </c>
      <c r="V9" s="13">
        <f t="shared" si="9"/>
        <v>2</v>
      </c>
      <c r="W9" s="15">
        <v>140000000</v>
      </c>
      <c r="X9" s="16">
        <v>585174222</v>
      </c>
    </row>
    <row r="10" spans="1:24" ht="17.25" x14ac:dyDescent="0.3">
      <c r="A10" s="8" t="s">
        <v>312</v>
      </c>
      <c r="B10" s="8">
        <f t="shared" si="0"/>
        <v>18</v>
      </c>
      <c r="C10" t="s">
        <v>255</v>
      </c>
      <c r="D10">
        <f t="shared" si="1"/>
        <v>13</v>
      </c>
      <c r="E10" s="2" t="s">
        <v>301</v>
      </c>
      <c r="F10" s="2">
        <f t="shared" si="2"/>
        <v>10</v>
      </c>
      <c r="G10">
        <v>12</v>
      </c>
      <c r="H10">
        <f t="shared" si="3"/>
        <v>2</v>
      </c>
      <c r="I10" s="6">
        <v>44895</v>
      </c>
      <c r="J10" t="s">
        <v>24</v>
      </c>
      <c r="K10">
        <f t="shared" si="4"/>
        <v>2</v>
      </c>
      <c r="L10">
        <v>115</v>
      </c>
      <c r="M10" t="s">
        <v>256</v>
      </c>
      <c r="N10">
        <f t="shared" si="5"/>
        <v>28</v>
      </c>
      <c r="O10" t="s">
        <v>257</v>
      </c>
      <c r="P10" s="4">
        <f t="shared" si="6"/>
        <v>289</v>
      </c>
      <c r="Q10" s="5" t="s">
        <v>258</v>
      </c>
      <c r="R10" s="11">
        <f t="shared" si="7"/>
        <v>18</v>
      </c>
      <c r="S10" s="5" t="s">
        <v>47</v>
      </c>
      <c r="T10" s="12">
        <f t="shared" si="8"/>
        <v>3</v>
      </c>
      <c r="U10" s="5" t="s">
        <v>150</v>
      </c>
      <c r="V10" s="13">
        <f t="shared" si="9"/>
        <v>3</v>
      </c>
      <c r="W10" s="18"/>
      <c r="X10" s="16">
        <v>171315305</v>
      </c>
    </row>
    <row r="11" spans="1:24" ht="17.25" x14ac:dyDescent="0.3">
      <c r="A11" s="8" t="s">
        <v>313</v>
      </c>
      <c r="B11" s="8">
        <f t="shared" si="0"/>
        <v>18</v>
      </c>
      <c r="C11" t="s">
        <v>279</v>
      </c>
      <c r="D11">
        <f t="shared" si="1"/>
        <v>11</v>
      </c>
      <c r="E11" s="2" t="s">
        <v>280</v>
      </c>
      <c r="F11" s="2">
        <f t="shared" si="2"/>
        <v>5</v>
      </c>
      <c r="G11">
        <v>12</v>
      </c>
      <c r="H11">
        <f t="shared" si="3"/>
        <v>2</v>
      </c>
      <c r="I11" s="19">
        <v>39785</v>
      </c>
      <c r="J11" t="s">
        <v>24</v>
      </c>
      <c r="K11">
        <f t="shared" si="4"/>
        <v>2</v>
      </c>
      <c r="L11">
        <v>108</v>
      </c>
      <c r="M11" t="s">
        <v>281</v>
      </c>
      <c r="N11">
        <f t="shared" si="5"/>
        <v>40</v>
      </c>
      <c r="O11" t="s">
        <v>282</v>
      </c>
      <c r="P11" s="4">
        <f t="shared" si="6"/>
        <v>353</v>
      </c>
      <c r="Q11" s="18"/>
      <c r="R11" s="11">
        <f t="shared" si="7"/>
        <v>0</v>
      </c>
      <c r="S11" s="5" t="s">
        <v>47</v>
      </c>
      <c r="T11" s="12">
        <f t="shared" si="8"/>
        <v>3</v>
      </c>
      <c r="U11" s="12" t="s">
        <v>175</v>
      </c>
      <c r="V11" s="13">
        <f t="shared" si="9"/>
        <v>3</v>
      </c>
      <c r="W11" s="18"/>
      <c r="X11" s="18"/>
    </row>
    <row r="12" spans="1:24" ht="17.25" x14ac:dyDescent="0.3">
      <c r="B12" s="8">
        <f>MAX(B2:B11)</f>
        <v>18</v>
      </c>
      <c r="D12">
        <f>MAX(D2:D11)</f>
        <v>20</v>
      </c>
      <c r="F12" s="2">
        <f>MAX(F2:F11)</f>
        <v>34</v>
      </c>
      <c r="H12">
        <f>MAX(H2:H11)</f>
        <v>3</v>
      </c>
      <c r="K12">
        <f>MAX(K2:K11)</f>
        <v>2</v>
      </c>
      <c r="N12">
        <f>MAX(N2:N11)</f>
        <v>42</v>
      </c>
      <c r="P12" s="4">
        <f>MAX(P2:P11)</f>
        <v>914</v>
      </c>
      <c r="R12" s="11">
        <f>MAX(R2:R11)</f>
        <v>18</v>
      </c>
      <c r="T12" s="12">
        <f>MAX(T2:T11)</f>
        <v>5</v>
      </c>
      <c r="V12" s="13">
        <f>MAX(V2:V11)</f>
        <v>3</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EB68-53FC-4097-8992-9582EF02F137}">
  <dimension ref="A1:H87"/>
  <sheetViews>
    <sheetView topLeftCell="B70" workbookViewId="0">
      <selection activeCell="H88" sqref="H88"/>
    </sheetView>
  </sheetViews>
  <sheetFormatPr defaultRowHeight="16.5" x14ac:dyDescent="0.3"/>
  <cols>
    <col min="1" max="1" width="20.375" style="8" customWidth="1"/>
    <col min="2" max="2" width="6" style="8" customWidth="1"/>
    <col min="3" max="3" width="21.5" style="10" customWidth="1"/>
    <col min="4" max="4" width="4.75" style="10" customWidth="1"/>
    <col min="5" max="5" width="27" style="10" customWidth="1"/>
    <col min="6" max="6" width="5.875" style="10" customWidth="1"/>
    <col min="7" max="7" width="23.75" style="20" customWidth="1"/>
    <col min="8" max="8" width="6.125" customWidth="1"/>
  </cols>
  <sheetData>
    <row r="1" spans="1:8" x14ac:dyDescent="0.3">
      <c r="A1" s="8" t="s">
        <v>505</v>
      </c>
      <c r="C1" s="10" t="s">
        <v>57</v>
      </c>
      <c r="E1" s="10" t="s">
        <v>14</v>
      </c>
      <c r="G1" s="20" t="s">
        <v>59</v>
      </c>
    </row>
    <row r="2" spans="1:8" x14ac:dyDescent="0.3">
      <c r="A2" s="8" t="s">
        <v>506</v>
      </c>
      <c r="B2" s="8">
        <f>LEN(A2)</f>
        <v>18</v>
      </c>
      <c r="C2" s="10" t="s">
        <v>423</v>
      </c>
      <c r="D2" s="10">
        <f>LEN(C2)</f>
        <v>18</v>
      </c>
      <c r="E2" s="10" t="s">
        <v>303</v>
      </c>
      <c r="F2" s="10">
        <f>LEN(E2)</f>
        <v>18</v>
      </c>
      <c r="G2" s="21" t="s">
        <v>61</v>
      </c>
      <c r="H2">
        <f>LEN(G2)</f>
        <v>12</v>
      </c>
    </row>
    <row r="3" spans="1:8" x14ac:dyDescent="0.3">
      <c r="A3" s="8" t="s">
        <v>507</v>
      </c>
      <c r="B3" s="8">
        <f t="shared" ref="B3:B66" si="0">LEN(A3)</f>
        <v>18</v>
      </c>
      <c r="C3" s="10" t="s">
        <v>425</v>
      </c>
      <c r="D3" s="10">
        <f t="shared" ref="D3:D66" si="1">LEN(C3)</f>
        <v>18</v>
      </c>
      <c r="E3" s="10" t="s">
        <v>303</v>
      </c>
      <c r="F3" s="10">
        <f t="shared" ref="F3:F66" si="2">LEN(E3)</f>
        <v>18</v>
      </c>
      <c r="G3" s="21" t="s">
        <v>65</v>
      </c>
      <c r="H3">
        <f t="shared" ref="H3:H66" si="3">LEN(G3)</f>
        <v>12</v>
      </c>
    </row>
    <row r="4" spans="1:8" x14ac:dyDescent="0.3">
      <c r="A4" s="8" t="s">
        <v>508</v>
      </c>
      <c r="B4" s="8">
        <f t="shared" si="0"/>
        <v>18</v>
      </c>
      <c r="C4" s="10" t="s">
        <v>426</v>
      </c>
      <c r="D4" s="10">
        <f t="shared" si="1"/>
        <v>18</v>
      </c>
      <c r="E4" s="10" t="s">
        <v>303</v>
      </c>
      <c r="F4" s="10">
        <f t="shared" si="2"/>
        <v>18</v>
      </c>
      <c r="G4" s="21" t="s">
        <v>66</v>
      </c>
      <c r="H4">
        <f t="shared" si="3"/>
        <v>12</v>
      </c>
    </row>
    <row r="5" spans="1:8" x14ac:dyDescent="0.3">
      <c r="A5" s="8" t="s">
        <v>509</v>
      </c>
      <c r="B5" s="8">
        <f t="shared" si="0"/>
        <v>18</v>
      </c>
      <c r="C5" s="10" t="s">
        <v>427</v>
      </c>
      <c r="D5" s="10">
        <f t="shared" si="1"/>
        <v>18</v>
      </c>
      <c r="E5" s="10" t="s">
        <v>303</v>
      </c>
      <c r="F5" s="10">
        <f t="shared" si="2"/>
        <v>18</v>
      </c>
      <c r="G5" s="21" t="s">
        <v>67</v>
      </c>
      <c r="H5">
        <f t="shared" si="3"/>
        <v>12</v>
      </c>
    </row>
    <row r="6" spans="1:8" x14ac:dyDescent="0.3">
      <c r="A6" s="8" t="s">
        <v>510</v>
      </c>
      <c r="B6" s="8">
        <f t="shared" si="0"/>
        <v>18</v>
      </c>
      <c r="C6" s="10" t="s">
        <v>428</v>
      </c>
      <c r="D6" s="10">
        <f t="shared" si="1"/>
        <v>18</v>
      </c>
      <c r="E6" s="10" t="s">
        <v>303</v>
      </c>
      <c r="F6" s="10">
        <f t="shared" si="2"/>
        <v>18</v>
      </c>
      <c r="G6" s="21" t="s">
        <v>73</v>
      </c>
      <c r="H6">
        <f t="shared" si="3"/>
        <v>14</v>
      </c>
    </row>
    <row r="7" spans="1:8" x14ac:dyDescent="0.3">
      <c r="A7" s="8" t="s">
        <v>511</v>
      </c>
      <c r="B7" s="8">
        <f t="shared" si="0"/>
        <v>18</v>
      </c>
      <c r="C7" s="10" t="s">
        <v>429</v>
      </c>
      <c r="D7" s="10">
        <f t="shared" si="1"/>
        <v>18</v>
      </c>
      <c r="E7" s="10" t="s">
        <v>303</v>
      </c>
      <c r="F7" s="10">
        <f t="shared" si="2"/>
        <v>18</v>
      </c>
      <c r="G7" s="21" t="s">
        <v>74</v>
      </c>
      <c r="H7">
        <f t="shared" si="3"/>
        <v>13</v>
      </c>
    </row>
    <row r="8" spans="1:8" x14ac:dyDescent="0.3">
      <c r="A8" s="8" t="s">
        <v>512</v>
      </c>
      <c r="B8" s="8">
        <f t="shared" si="0"/>
        <v>18</v>
      </c>
      <c r="C8" s="10" t="s">
        <v>430</v>
      </c>
      <c r="D8" s="10">
        <f t="shared" si="1"/>
        <v>18</v>
      </c>
      <c r="E8" s="10" t="s">
        <v>303</v>
      </c>
      <c r="F8" s="10">
        <f t="shared" si="2"/>
        <v>18</v>
      </c>
      <c r="G8" s="21" t="s">
        <v>75</v>
      </c>
      <c r="H8">
        <f t="shared" si="3"/>
        <v>14</v>
      </c>
    </row>
    <row r="9" spans="1:8" x14ac:dyDescent="0.3">
      <c r="A9" s="8" t="s">
        <v>513</v>
      </c>
      <c r="B9" s="8">
        <f t="shared" si="0"/>
        <v>18</v>
      </c>
      <c r="C9" s="10" t="s">
        <v>431</v>
      </c>
      <c r="D9" s="10">
        <f t="shared" si="1"/>
        <v>18</v>
      </c>
      <c r="E9" s="10" t="s">
        <v>303</v>
      </c>
      <c r="F9" s="10">
        <f t="shared" si="2"/>
        <v>18</v>
      </c>
      <c r="G9" s="21" t="s">
        <v>76</v>
      </c>
      <c r="H9">
        <f t="shared" si="3"/>
        <v>10</v>
      </c>
    </row>
    <row r="10" spans="1:8" x14ac:dyDescent="0.3">
      <c r="A10" s="8" t="s">
        <v>514</v>
      </c>
      <c r="B10" s="8">
        <f t="shared" si="0"/>
        <v>18</v>
      </c>
      <c r="C10" s="10" t="s">
        <v>431</v>
      </c>
      <c r="D10" s="10">
        <f t="shared" si="1"/>
        <v>18</v>
      </c>
      <c r="E10" s="10" t="s">
        <v>303</v>
      </c>
      <c r="F10" s="10">
        <f t="shared" si="2"/>
        <v>18</v>
      </c>
      <c r="G10" s="21" t="s">
        <v>77</v>
      </c>
      <c r="H10">
        <f t="shared" si="3"/>
        <v>25</v>
      </c>
    </row>
    <row r="11" spans="1:8" x14ac:dyDescent="0.3">
      <c r="A11" s="8" t="s">
        <v>515</v>
      </c>
      <c r="B11" s="8">
        <f t="shared" si="0"/>
        <v>18</v>
      </c>
      <c r="C11" s="10" t="s">
        <v>432</v>
      </c>
      <c r="D11" s="10">
        <f t="shared" si="1"/>
        <v>18</v>
      </c>
      <c r="E11" s="10" t="s">
        <v>303</v>
      </c>
      <c r="F11" s="10">
        <f t="shared" si="2"/>
        <v>18</v>
      </c>
      <c r="G11" s="21" t="s">
        <v>78</v>
      </c>
      <c r="H11">
        <f t="shared" si="3"/>
        <v>19</v>
      </c>
    </row>
    <row r="12" spans="1:8" x14ac:dyDescent="0.3">
      <c r="A12" s="8" t="s">
        <v>516</v>
      </c>
      <c r="B12" s="8">
        <f t="shared" si="0"/>
        <v>18</v>
      </c>
      <c r="C12" s="10" t="s">
        <v>432</v>
      </c>
      <c r="D12" s="10">
        <f t="shared" si="1"/>
        <v>18</v>
      </c>
      <c r="E12" s="10" t="s">
        <v>303</v>
      </c>
      <c r="F12" s="10">
        <f t="shared" si="2"/>
        <v>18</v>
      </c>
      <c r="G12" s="21" t="s">
        <v>79</v>
      </c>
      <c r="H12">
        <f t="shared" si="3"/>
        <v>9</v>
      </c>
    </row>
    <row r="13" spans="1:8" x14ac:dyDescent="0.3">
      <c r="A13" s="8" t="s">
        <v>517</v>
      </c>
      <c r="B13" s="8">
        <f t="shared" si="0"/>
        <v>18</v>
      </c>
      <c r="C13" s="10" t="s">
        <v>432</v>
      </c>
      <c r="D13" s="10">
        <f t="shared" si="1"/>
        <v>18</v>
      </c>
      <c r="E13" s="10" t="s">
        <v>303</v>
      </c>
      <c r="F13" s="10">
        <f t="shared" si="2"/>
        <v>18</v>
      </c>
      <c r="G13" s="21" t="s">
        <v>80</v>
      </c>
      <c r="H13">
        <f t="shared" si="3"/>
        <v>20</v>
      </c>
    </row>
    <row r="14" spans="1:8" x14ac:dyDescent="0.3">
      <c r="A14" s="8" t="s">
        <v>518</v>
      </c>
      <c r="B14" s="8">
        <f t="shared" si="0"/>
        <v>18</v>
      </c>
      <c r="C14" s="10" t="s">
        <v>433</v>
      </c>
      <c r="D14" s="10">
        <f t="shared" si="1"/>
        <v>18</v>
      </c>
      <c r="E14" s="10" t="s">
        <v>305</v>
      </c>
      <c r="F14" s="10">
        <f t="shared" si="2"/>
        <v>18</v>
      </c>
      <c r="G14" s="21" t="s">
        <v>99</v>
      </c>
      <c r="H14">
        <f t="shared" si="3"/>
        <v>6</v>
      </c>
    </row>
    <row r="15" spans="1:8" x14ac:dyDescent="0.3">
      <c r="A15" s="8" t="s">
        <v>519</v>
      </c>
      <c r="B15" s="8">
        <f t="shared" si="0"/>
        <v>18</v>
      </c>
      <c r="C15" s="10" t="s">
        <v>434</v>
      </c>
      <c r="D15" s="10">
        <f t="shared" si="1"/>
        <v>18</v>
      </c>
      <c r="E15" s="10" t="s">
        <v>305</v>
      </c>
      <c r="F15" s="10">
        <f t="shared" si="2"/>
        <v>18</v>
      </c>
      <c r="G15" s="21" t="s">
        <v>100</v>
      </c>
      <c r="H15">
        <f t="shared" si="3"/>
        <v>4</v>
      </c>
    </row>
    <row r="16" spans="1:8" x14ac:dyDescent="0.3">
      <c r="A16" s="8" t="s">
        <v>520</v>
      </c>
      <c r="B16" s="8">
        <f t="shared" si="0"/>
        <v>18</v>
      </c>
      <c r="C16" s="10" t="s">
        <v>435</v>
      </c>
      <c r="D16" s="10">
        <f t="shared" si="1"/>
        <v>18</v>
      </c>
      <c r="E16" s="10" t="s">
        <v>305</v>
      </c>
      <c r="F16" s="10">
        <f t="shared" si="2"/>
        <v>18</v>
      </c>
      <c r="G16" s="21" t="s">
        <v>101</v>
      </c>
      <c r="H16">
        <f t="shared" si="3"/>
        <v>4</v>
      </c>
    </row>
    <row r="17" spans="1:8" x14ac:dyDescent="0.3">
      <c r="A17" s="8" t="s">
        <v>521</v>
      </c>
      <c r="B17" s="8">
        <f t="shared" si="0"/>
        <v>18</v>
      </c>
      <c r="C17" s="10" t="s">
        <v>436</v>
      </c>
      <c r="D17" s="10">
        <f t="shared" si="1"/>
        <v>18</v>
      </c>
      <c r="E17" s="10" t="s">
        <v>305</v>
      </c>
      <c r="F17" s="10">
        <f t="shared" si="2"/>
        <v>18</v>
      </c>
      <c r="G17" s="21" t="s">
        <v>102</v>
      </c>
      <c r="H17">
        <f t="shared" si="3"/>
        <v>5</v>
      </c>
    </row>
    <row r="18" spans="1:8" x14ac:dyDescent="0.3">
      <c r="A18" s="8" t="s">
        <v>522</v>
      </c>
      <c r="B18" s="8">
        <f t="shared" si="0"/>
        <v>18</v>
      </c>
      <c r="C18" s="10" t="s">
        <v>437</v>
      </c>
      <c r="D18" s="10">
        <f t="shared" si="1"/>
        <v>18</v>
      </c>
      <c r="E18" s="10" t="s">
        <v>305</v>
      </c>
      <c r="F18" s="10">
        <f t="shared" si="2"/>
        <v>18</v>
      </c>
      <c r="G18" s="21" t="s">
        <v>103</v>
      </c>
      <c r="H18">
        <f t="shared" si="3"/>
        <v>5</v>
      </c>
    </row>
    <row r="19" spans="1:8" x14ac:dyDescent="0.3">
      <c r="A19" s="8" t="s">
        <v>523</v>
      </c>
      <c r="B19" s="8">
        <f t="shared" si="0"/>
        <v>18</v>
      </c>
      <c r="C19" s="10" t="s">
        <v>438</v>
      </c>
      <c r="D19" s="10">
        <f t="shared" si="1"/>
        <v>18</v>
      </c>
      <c r="E19" s="10" t="s">
        <v>305</v>
      </c>
      <c r="F19" s="10">
        <f t="shared" si="2"/>
        <v>18</v>
      </c>
      <c r="G19" s="21" t="s">
        <v>104</v>
      </c>
      <c r="H19">
        <f t="shared" si="3"/>
        <v>4</v>
      </c>
    </row>
    <row r="20" spans="1:8" x14ac:dyDescent="0.3">
      <c r="A20" s="8" t="s">
        <v>524</v>
      </c>
      <c r="B20" s="8">
        <f t="shared" si="0"/>
        <v>18</v>
      </c>
      <c r="C20" s="10" t="s">
        <v>439</v>
      </c>
      <c r="D20" s="10">
        <f t="shared" si="1"/>
        <v>18</v>
      </c>
      <c r="E20" s="10" t="s">
        <v>305</v>
      </c>
      <c r="F20" s="10">
        <f t="shared" si="2"/>
        <v>18</v>
      </c>
      <c r="G20" s="21" t="s">
        <v>111</v>
      </c>
      <c r="H20">
        <f t="shared" si="3"/>
        <v>9</v>
      </c>
    </row>
    <row r="21" spans="1:8" x14ac:dyDescent="0.3">
      <c r="A21" s="8" t="s">
        <v>525</v>
      </c>
      <c r="B21" s="8">
        <f t="shared" si="0"/>
        <v>18</v>
      </c>
      <c r="C21" s="10" t="s">
        <v>440</v>
      </c>
      <c r="D21" s="10">
        <f t="shared" si="1"/>
        <v>18</v>
      </c>
      <c r="E21" s="10" t="s">
        <v>305</v>
      </c>
      <c r="F21" s="10">
        <f t="shared" si="2"/>
        <v>18</v>
      </c>
      <c r="G21" s="21" t="s">
        <v>110</v>
      </c>
      <c r="H21">
        <f t="shared" si="3"/>
        <v>8</v>
      </c>
    </row>
    <row r="22" spans="1:8" x14ac:dyDescent="0.3">
      <c r="A22" s="8" t="s">
        <v>526</v>
      </c>
      <c r="B22" s="8">
        <f t="shared" si="0"/>
        <v>18</v>
      </c>
      <c r="C22" s="10" t="s">
        <v>441</v>
      </c>
      <c r="D22" s="10">
        <f t="shared" si="1"/>
        <v>18</v>
      </c>
      <c r="E22" s="10" t="s">
        <v>305</v>
      </c>
      <c r="F22" s="10">
        <f t="shared" si="2"/>
        <v>18</v>
      </c>
      <c r="G22" s="21" t="s">
        <v>105</v>
      </c>
      <c r="H22">
        <f t="shared" si="3"/>
        <v>5</v>
      </c>
    </row>
    <row r="23" spans="1:8" x14ac:dyDescent="0.3">
      <c r="A23" s="8" t="s">
        <v>527</v>
      </c>
      <c r="B23" s="8">
        <f t="shared" si="0"/>
        <v>18</v>
      </c>
      <c r="C23" s="10" t="s">
        <v>442</v>
      </c>
      <c r="D23" s="10">
        <f t="shared" si="1"/>
        <v>18</v>
      </c>
      <c r="E23" s="10" t="s">
        <v>307</v>
      </c>
      <c r="F23" s="10">
        <f t="shared" si="2"/>
        <v>18</v>
      </c>
      <c r="G23" s="21" t="s">
        <v>137</v>
      </c>
      <c r="H23">
        <f t="shared" si="3"/>
        <v>6</v>
      </c>
    </row>
    <row r="24" spans="1:8" x14ac:dyDescent="0.3">
      <c r="A24" s="8" t="s">
        <v>528</v>
      </c>
      <c r="B24" s="8">
        <f t="shared" si="0"/>
        <v>18</v>
      </c>
      <c r="C24" s="10" t="s">
        <v>443</v>
      </c>
      <c r="D24" s="10">
        <f t="shared" si="1"/>
        <v>18</v>
      </c>
      <c r="E24" s="10" t="s">
        <v>307</v>
      </c>
      <c r="F24" s="10">
        <f t="shared" si="2"/>
        <v>18</v>
      </c>
      <c r="G24" s="21" t="s">
        <v>136</v>
      </c>
      <c r="H24">
        <f t="shared" si="3"/>
        <v>5</v>
      </c>
    </row>
    <row r="25" spans="1:8" x14ac:dyDescent="0.3">
      <c r="A25" s="8" t="s">
        <v>529</v>
      </c>
      <c r="B25" s="8">
        <f t="shared" si="0"/>
        <v>18</v>
      </c>
      <c r="C25" s="10" t="s">
        <v>444</v>
      </c>
      <c r="D25" s="10">
        <f t="shared" si="1"/>
        <v>18</v>
      </c>
      <c r="E25" s="10" t="s">
        <v>307</v>
      </c>
      <c r="F25" s="10">
        <f t="shared" si="2"/>
        <v>18</v>
      </c>
      <c r="G25" s="22" t="s">
        <v>135</v>
      </c>
      <c r="H25">
        <f t="shared" si="3"/>
        <v>15</v>
      </c>
    </row>
    <row r="26" spans="1:8" x14ac:dyDescent="0.3">
      <c r="A26" s="8" t="s">
        <v>530</v>
      </c>
      <c r="B26" s="8">
        <f t="shared" si="0"/>
        <v>18</v>
      </c>
      <c r="C26" s="10" t="s">
        <v>445</v>
      </c>
      <c r="D26" s="10">
        <f t="shared" si="1"/>
        <v>18</v>
      </c>
      <c r="E26" s="10" t="s">
        <v>307</v>
      </c>
      <c r="F26" s="10">
        <f t="shared" si="2"/>
        <v>18</v>
      </c>
      <c r="G26" s="21" t="s">
        <v>134</v>
      </c>
      <c r="H26">
        <f t="shared" si="3"/>
        <v>5</v>
      </c>
    </row>
    <row r="27" spans="1:8" x14ac:dyDescent="0.3">
      <c r="A27" s="8" t="s">
        <v>531</v>
      </c>
      <c r="B27" s="8">
        <f t="shared" si="0"/>
        <v>18</v>
      </c>
      <c r="C27" s="10" t="s">
        <v>446</v>
      </c>
      <c r="D27" s="10">
        <f t="shared" si="1"/>
        <v>18</v>
      </c>
      <c r="E27" s="10" t="s">
        <v>307</v>
      </c>
      <c r="F27" s="10">
        <f t="shared" si="2"/>
        <v>18</v>
      </c>
      <c r="G27" s="21" t="s">
        <v>133</v>
      </c>
      <c r="H27">
        <f t="shared" si="3"/>
        <v>3</v>
      </c>
    </row>
    <row r="28" spans="1:8" x14ac:dyDescent="0.3">
      <c r="A28" s="8" t="s">
        <v>532</v>
      </c>
      <c r="B28" s="8">
        <f t="shared" si="0"/>
        <v>18</v>
      </c>
      <c r="C28" s="10" t="s">
        <v>447</v>
      </c>
      <c r="D28" s="10">
        <f t="shared" si="1"/>
        <v>18</v>
      </c>
      <c r="E28" s="10" t="s">
        <v>307</v>
      </c>
      <c r="F28" s="10">
        <f t="shared" si="2"/>
        <v>18</v>
      </c>
      <c r="G28" s="21" t="s">
        <v>132</v>
      </c>
      <c r="H28">
        <f t="shared" si="3"/>
        <v>5</v>
      </c>
    </row>
    <row r="29" spans="1:8" x14ac:dyDescent="0.3">
      <c r="A29" s="8" t="s">
        <v>533</v>
      </c>
      <c r="B29" s="8">
        <f t="shared" si="0"/>
        <v>18</v>
      </c>
      <c r="C29" s="10" t="s">
        <v>448</v>
      </c>
      <c r="D29" s="10">
        <f t="shared" si="1"/>
        <v>18</v>
      </c>
      <c r="E29" s="10" t="s">
        <v>307</v>
      </c>
      <c r="F29" s="10">
        <f t="shared" si="2"/>
        <v>18</v>
      </c>
      <c r="G29" s="20" t="s">
        <v>131</v>
      </c>
      <c r="H29">
        <f t="shared" si="3"/>
        <v>5</v>
      </c>
    </row>
    <row r="30" spans="1:8" x14ac:dyDescent="0.3">
      <c r="A30" s="8" t="s">
        <v>534</v>
      </c>
      <c r="B30" s="8">
        <f t="shared" si="0"/>
        <v>18</v>
      </c>
      <c r="C30" s="10" t="s">
        <v>449</v>
      </c>
      <c r="D30" s="10">
        <f t="shared" si="1"/>
        <v>18</v>
      </c>
      <c r="E30" s="10" t="s">
        <v>307</v>
      </c>
      <c r="F30" s="10">
        <f t="shared" si="2"/>
        <v>18</v>
      </c>
      <c r="G30" s="22" t="s">
        <v>130</v>
      </c>
      <c r="H30">
        <f t="shared" si="3"/>
        <v>15</v>
      </c>
    </row>
    <row r="31" spans="1:8" x14ac:dyDescent="0.3">
      <c r="A31" s="8" t="s">
        <v>535</v>
      </c>
      <c r="B31" s="8">
        <f t="shared" si="0"/>
        <v>18</v>
      </c>
      <c r="C31" s="10" t="s">
        <v>450</v>
      </c>
      <c r="D31" s="10">
        <f t="shared" si="1"/>
        <v>18</v>
      </c>
      <c r="E31" s="10" t="s">
        <v>307</v>
      </c>
      <c r="F31" s="10">
        <f t="shared" si="2"/>
        <v>18</v>
      </c>
      <c r="G31" s="22" t="s">
        <v>129</v>
      </c>
      <c r="H31">
        <f t="shared" si="3"/>
        <v>13</v>
      </c>
    </row>
    <row r="32" spans="1:8" x14ac:dyDescent="0.3">
      <c r="A32" s="8" t="s">
        <v>536</v>
      </c>
      <c r="B32" s="8">
        <f t="shared" si="0"/>
        <v>18</v>
      </c>
      <c r="C32" s="10" t="s">
        <v>451</v>
      </c>
      <c r="D32" s="10">
        <f t="shared" si="1"/>
        <v>18</v>
      </c>
      <c r="E32" s="10" t="s">
        <v>308</v>
      </c>
      <c r="F32" s="10">
        <f t="shared" si="2"/>
        <v>18</v>
      </c>
      <c r="G32" s="22" t="s">
        <v>151</v>
      </c>
      <c r="H32">
        <f t="shared" si="3"/>
        <v>15</v>
      </c>
    </row>
    <row r="33" spans="1:8" x14ac:dyDescent="0.3">
      <c r="A33" s="8" t="s">
        <v>537</v>
      </c>
      <c r="B33" s="8">
        <f t="shared" si="0"/>
        <v>18</v>
      </c>
      <c r="C33" s="10" t="s">
        <v>452</v>
      </c>
      <c r="D33" s="10">
        <f t="shared" si="1"/>
        <v>18</v>
      </c>
      <c r="E33" s="10" t="s">
        <v>308</v>
      </c>
      <c r="F33" s="10">
        <f t="shared" si="2"/>
        <v>18</v>
      </c>
      <c r="G33" s="22" t="s">
        <v>152</v>
      </c>
      <c r="H33">
        <f t="shared" si="3"/>
        <v>12</v>
      </c>
    </row>
    <row r="34" spans="1:8" x14ac:dyDescent="0.3">
      <c r="A34" s="8" t="s">
        <v>538</v>
      </c>
      <c r="B34" s="8">
        <f t="shared" si="0"/>
        <v>18</v>
      </c>
      <c r="C34" s="10" t="s">
        <v>453</v>
      </c>
      <c r="D34" s="10">
        <f t="shared" si="1"/>
        <v>18</v>
      </c>
      <c r="E34" s="10" t="s">
        <v>308</v>
      </c>
      <c r="F34" s="10">
        <f t="shared" si="2"/>
        <v>18</v>
      </c>
      <c r="G34" s="21" t="s">
        <v>153</v>
      </c>
      <c r="H34">
        <f t="shared" si="3"/>
        <v>7</v>
      </c>
    </row>
    <row r="35" spans="1:8" x14ac:dyDescent="0.3">
      <c r="A35" s="8" t="s">
        <v>539</v>
      </c>
      <c r="B35" s="8">
        <f t="shared" si="0"/>
        <v>18</v>
      </c>
      <c r="C35" s="10" t="s">
        <v>453</v>
      </c>
      <c r="D35" s="10">
        <f t="shared" si="1"/>
        <v>18</v>
      </c>
      <c r="E35" s="10" t="s">
        <v>308</v>
      </c>
      <c r="F35" s="10">
        <f t="shared" si="2"/>
        <v>18</v>
      </c>
      <c r="G35" s="21" t="s">
        <v>154</v>
      </c>
      <c r="H35">
        <f t="shared" si="3"/>
        <v>14</v>
      </c>
    </row>
    <row r="36" spans="1:8" x14ac:dyDescent="0.3">
      <c r="A36" s="8" t="s">
        <v>540</v>
      </c>
      <c r="B36" s="8">
        <f t="shared" si="0"/>
        <v>18</v>
      </c>
      <c r="C36" s="10" t="s">
        <v>454</v>
      </c>
      <c r="D36" s="10">
        <f t="shared" si="1"/>
        <v>18</v>
      </c>
      <c r="E36" s="10" t="s">
        <v>308</v>
      </c>
      <c r="F36" s="10">
        <f t="shared" si="2"/>
        <v>18</v>
      </c>
      <c r="G36" s="22" t="s">
        <v>155</v>
      </c>
      <c r="H36">
        <f t="shared" si="3"/>
        <v>14</v>
      </c>
    </row>
    <row r="37" spans="1:8" x14ac:dyDescent="0.3">
      <c r="A37" s="8" t="s">
        <v>541</v>
      </c>
      <c r="B37" s="8">
        <f t="shared" si="0"/>
        <v>18</v>
      </c>
      <c r="C37" s="10" t="s">
        <v>455</v>
      </c>
      <c r="D37" s="10">
        <f t="shared" si="1"/>
        <v>18</v>
      </c>
      <c r="E37" s="10" t="s">
        <v>308</v>
      </c>
      <c r="F37" s="10">
        <f t="shared" si="2"/>
        <v>18</v>
      </c>
      <c r="G37" s="22" t="s">
        <v>165</v>
      </c>
      <c r="H37">
        <f t="shared" si="3"/>
        <v>14</v>
      </c>
    </row>
    <row r="38" spans="1:8" x14ac:dyDescent="0.3">
      <c r="A38" s="8" t="s">
        <v>542</v>
      </c>
      <c r="B38" s="8">
        <f t="shared" si="0"/>
        <v>18</v>
      </c>
      <c r="C38" s="10" t="s">
        <v>456</v>
      </c>
      <c r="D38" s="10">
        <f t="shared" si="1"/>
        <v>18</v>
      </c>
      <c r="E38" s="10" t="s">
        <v>308</v>
      </c>
      <c r="F38" s="10">
        <f t="shared" si="2"/>
        <v>18</v>
      </c>
      <c r="G38" s="22" t="s">
        <v>166</v>
      </c>
      <c r="H38">
        <f t="shared" si="3"/>
        <v>15</v>
      </c>
    </row>
    <row r="39" spans="1:8" x14ac:dyDescent="0.3">
      <c r="A39" s="8" t="s">
        <v>543</v>
      </c>
      <c r="B39" s="8">
        <f t="shared" si="0"/>
        <v>18</v>
      </c>
      <c r="C39" s="10" t="s">
        <v>457</v>
      </c>
      <c r="D39" s="10">
        <f t="shared" si="1"/>
        <v>18</v>
      </c>
      <c r="E39" s="10" t="s">
        <v>308</v>
      </c>
      <c r="F39" s="10">
        <f t="shared" si="2"/>
        <v>18</v>
      </c>
      <c r="G39" s="22" t="s">
        <v>167</v>
      </c>
      <c r="H39">
        <f t="shared" si="3"/>
        <v>11</v>
      </c>
    </row>
    <row r="40" spans="1:8" x14ac:dyDescent="0.3">
      <c r="A40" s="8" t="s">
        <v>544</v>
      </c>
      <c r="B40" s="8">
        <f t="shared" si="0"/>
        <v>18</v>
      </c>
      <c r="C40" s="10" t="s">
        <v>458</v>
      </c>
      <c r="D40" s="10">
        <f t="shared" si="1"/>
        <v>18</v>
      </c>
      <c r="E40" s="10" t="s">
        <v>308</v>
      </c>
      <c r="F40" s="10">
        <f t="shared" si="2"/>
        <v>18</v>
      </c>
      <c r="G40" s="22" t="s">
        <v>168</v>
      </c>
      <c r="H40">
        <f t="shared" si="3"/>
        <v>11</v>
      </c>
    </row>
    <row r="41" spans="1:8" x14ac:dyDescent="0.3">
      <c r="A41" s="8" t="s">
        <v>545</v>
      </c>
      <c r="B41" s="8">
        <f t="shared" si="0"/>
        <v>18</v>
      </c>
      <c r="C41" s="10" t="s">
        <v>459</v>
      </c>
      <c r="D41" s="10">
        <f t="shared" si="1"/>
        <v>18</v>
      </c>
      <c r="E41" s="10" t="s">
        <v>308</v>
      </c>
      <c r="F41" s="10">
        <f t="shared" si="2"/>
        <v>18</v>
      </c>
      <c r="G41" s="22" t="s">
        <v>169</v>
      </c>
      <c r="H41">
        <f t="shared" si="3"/>
        <v>19</v>
      </c>
    </row>
    <row r="42" spans="1:8" x14ac:dyDescent="0.3">
      <c r="A42" s="8" t="s">
        <v>546</v>
      </c>
      <c r="B42" s="8">
        <f t="shared" si="0"/>
        <v>18</v>
      </c>
      <c r="C42" s="10" t="s">
        <v>460</v>
      </c>
      <c r="D42" s="10">
        <f t="shared" si="1"/>
        <v>18</v>
      </c>
      <c r="E42" s="10" t="s">
        <v>309</v>
      </c>
      <c r="F42" s="10">
        <f t="shared" si="2"/>
        <v>18</v>
      </c>
      <c r="G42" s="21" t="s">
        <v>187</v>
      </c>
      <c r="H42">
        <f t="shared" si="3"/>
        <v>6</v>
      </c>
    </row>
    <row r="43" spans="1:8" x14ac:dyDescent="0.3">
      <c r="A43" s="8" t="s">
        <v>547</v>
      </c>
      <c r="B43" s="8">
        <f t="shared" si="0"/>
        <v>18</v>
      </c>
      <c r="C43" s="10" t="s">
        <v>461</v>
      </c>
      <c r="D43" s="10">
        <f t="shared" si="1"/>
        <v>18</v>
      </c>
      <c r="E43" s="10" t="s">
        <v>309</v>
      </c>
      <c r="F43" s="10">
        <f t="shared" si="2"/>
        <v>18</v>
      </c>
      <c r="G43" s="22" t="s">
        <v>188</v>
      </c>
      <c r="H43">
        <f t="shared" si="3"/>
        <v>14</v>
      </c>
    </row>
    <row r="44" spans="1:8" x14ac:dyDescent="0.3">
      <c r="A44" s="8" t="s">
        <v>548</v>
      </c>
      <c r="B44" s="8">
        <f t="shared" si="0"/>
        <v>18</v>
      </c>
      <c r="C44" s="10" t="s">
        <v>462</v>
      </c>
      <c r="D44" s="10">
        <f t="shared" si="1"/>
        <v>18</v>
      </c>
      <c r="E44" s="10" t="s">
        <v>309</v>
      </c>
      <c r="F44" s="10">
        <f t="shared" si="2"/>
        <v>18</v>
      </c>
      <c r="G44" s="21" t="s">
        <v>189</v>
      </c>
      <c r="H44">
        <f t="shared" si="3"/>
        <v>7</v>
      </c>
    </row>
    <row r="45" spans="1:8" x14ac:dyDescent="0.3">
      <c r="A45" s="8" t="s">
        <v>549</v>
      </c>
      <c r="B45" s="8">
        <f t="shared" si="0"/>
        <v>18</v>
      </c>
      <c r="C45" s="10" t="s">
        <v>463</v>
      </c>
      <c r="D45" s="10">
        <f t="shared" si="1"/>
        <v>18</v>
      </c>
      <c r="E45" s="10" t="s">
        <v>309</v>
      </c>
      <c r="F45" s="10">
        <f t="shared" si="2"/>
        <v>18</v>
      </c>
      <c r="G45" s="21" t="s">
        <v>190</v>
      </c>
      <c r="H45">
        <f t="shared" si="3"/>
        <v>7</v>
      </c>
    </row>
    <row r="46" spans="1:8" x14ac:dyDescent="0.3">
      <c r="A46" s="8" t="s">
        <v>550</v>
      </c>
      <c r="B46" s="8">
        <f t="shared" si="0"/>
        <v>18</v>
      </c>
      <c r="C46" s="10" t="s">
        <v>464</v>
      </c>
      <c r="D46" s="10">
        <f t="shared" si="1"/>
        <v>18</v>
      </c>
      <c r="E46" s="10" t="s">
        <v>309</v>
      </c>
      <c r="F46" s="10">
        <f t="shared" si="2"/>
        <v>18</v>
      </c>
      <c r="G46" s="21" t="s">
        <v>191</v>
      </c>
      <c r="H46">
        <f t="shared" si="3"/>
        <v>5</v>
      </c>
    </row>
    <row r="47" spans="1:8" x14ac:dyDescent="0.3">
      <c r="A47" s="8" t="s">
        <v>551</v>
      </c>
      <c r="B47" s="8">
        <f t="shared" si="0"/>
        <v>18</v>
      </c>
      <c r="C47" s="10" t="s">
        <v>465</v>
      </c>
      <c r="D47" s="10">
        <f t="shared" si="1"/>
        <v>18</v>
      </c>
      <c r="E47" s="10" t="s">
        <v>309</v>
      </c>
      <c r="F47" s="10">
        <f t="shared" si="2"/>
        <v>18</v>
      </c>
      <c r="G47" s="21" t="s">
        <v>192</v>
      </c>
      <c r="H47">
        <f t="shared" si="3"/>
        <v>5</v>
      </c>
    </row>
    <row r="48" spans="1:8" x14ac:dyDescent="0.3">
      <c r="A48" s="8" t="s">
        <v>552</v>
      </c>
      <c r="B48" s="8">
        <f t="shared" si="0"/>
        <v>18</v>
      </c>
      <c r="C48" s="10" t="s">
        <v>466</v>
      </c>
      <c r="D48" s="10">
        <f t="shared" si="1"/>
        <v>18</v>
      </c>
      <c r="E48" s="10" t="s">
        <v>309</v>
      </c>
      <c r="F48" s="10">
        <f t="shared" si="2"/>
        <v>18</v>
      </c>
      <c r="G48" s="21" t="s">
        <v>193</v>
      </c>
      <c r="H48">
        <f t="shared" si="3"/>
        <v>5</v>
      </c>
    </row>
    <row r="49" spans="1:8" x14ac:dyDescent="0.3">
      <c r="A49" s="8" t="s">
        <v>553</v>
      </c>
      <c r="B49" s="8">
        <f t="shared" si="0"/>
        <v>18</v>
      </c>
      <c r="C49" s="10" t="s">
        <v>467</v>
      </c>
      <c r="D49" s="10">
        <f t="shared" si="1"/>
        <v>18</v>
      </c>
      <c r="E49" s="10" t="s">
        <v>309</v>
      </c>
      <c r="F49" s="10">
        <f t="shared" si="2"/>
        <v>18</v>
      </c>
      <c r="G49" s="21" t="s">
        <v>186</v>
      </c>
      <c r="H49">
        <f t="shared" si="3"/>
        <v>6</v>
      </c>
    </row>
    <row r="50" spans="1:8" x14ac:dyDescent="0.3">
      <c r="A50" s="8" t="s">
        <v>554</v>
      </c>
      <c r="B50" s="8">
        <f t="shared" si="0"/>
        <v>18</v>
      </c>
      <c r="C50" s="10" t="s">
        <v>468</v>
      </c>
      <c r="D50" s="10">
        <f t="shared" si="1"/>
        <v>18</v>
      </c>
      <c r="E50" s="10" t="s">
        <v>309</v>
      </c>
      <c r="F50" s="10">
        <f t="shared" si="2"/>
        <v>18</v>
      </c>
      <c r="G50" s="21" t="s">
        <v>185</v>
      </c>
      <c r="H50">
        <f t="shared" si="3"/>
        <v>4</v>
      </c>
    </row>
    <row r="51" spans="1:8" x14ac:dyDescent="0.3">
      <c r="A51" s="8" t="s">
        <v>555</v>
      </c>
      <c r="B51" s="8">
        <f t="shared" si="0"/>
        <v>18</v>
      </c>
      <c r="C51" s="10" t="s">
        <v>469</v>
      </c>
      <c r="D51" s="10">
        <f t="shared" si="1"/>
        <v>18</v>
      </c>
      <c r="E51" s="10" t="s">
        <v>310</v>
      </c>
      <c r="F51" s="10">
        <f t="shared" si="2"/>
        <v>18</v>
      </c>
      <c r="G51" s="21" t="s">
        <v>213</v>
      </c>
      <c r="H51">
        <f t="shared" si="3"/>
        <v>28</v>
      </c>
    </row>
    <row r="52" spans="1:8" x14ac:dyDescent="0.3">
      <c r="A52" s="8" t="s">
        <v>556</v>
      </c>
      <c r="B52" s="8">
        <f t="shared" si="0"/>
        <v>18</v>
      </c>
      <c r="C52" s="10" t="s">
        <v>470</v>
      </c>
      <c r="D52" s="10">
        <f t="shared" si="1"/>
        <v>18</v>
      </c>
      <c r="E52" s="10" t="s">
        <v>310</v>
      </c>
      <c r="F52" s="10">
        <f t="shared" si="2"/>
        <v>18</v>
      </c>
      <c r="G52" s="22" t="s">
        <v>214</v>
      </c>
      <c r="H52">
        <f t="shared" si="3"/>
        <v>14</v>
      </c>
    </row>
    <row r="53" spans="1:8" x14ac:dyDescent="0.3">
      <c r="A53" s="8" t="s">
        <v>557</v>
      </c>
      <c r="B53" s="8">
        <f t="shared" si="0"/>
        <v>18</v>
      </c>
      <c r="C53" s="10" t="s">
        <v>471</v>
      </c>
      <c r="D53" s="10">
        <f t="shared" si="1"/>
        <v>18</v>
      </c>
      <c r="E53" s="10" t="s">
        <v>310</v>
      </c>
      <c r="F53" s="10">
        <f t="shared" si="2"/>
        <v>18</v>
      </c>
      <c r="G53" s="22" t="s">
        <v>215</v>
      </c>
      <c r="H53">
        <f t="shared" si="3"/>
        <v>12</v>
      </c>
    </row>
    <row r="54" spans="1:8" x14ac:dyDescent="0.3">
      <c r="A54" s="8" t="s">
        <v>558</v>
      </c>
      <c r="B54" s="8">
        <f t="shared" si="0"/>
        <v>18</v>
      </c>
      <c r="C54" s="10" t="s">
        <v>472</v>
      </c>
      <c r="D54" s="10">
        <f t="shared" si="1"/>
        <v>18</v>
      </c>
      <c r="E54" s="10" t="s">
        <v>310</v>
      </c>
      <c r="F54" s="10">
        <f t="shared" si="2"/>
        <v>18</v>
      </c>
      <c r="G54" s="21" t="s">
        <v>216</v>
      </c>
      <c r="H54">
        <f t="shared" si="3"/>
        <v>18</v>
      </c>
    </row>
    <row r="55" spans="1:8" x14ac:dyDescent="0.3">
      <c r="A55" s="8" t="s">
        <v>559</v>
      </c>
      <c r="B55" s="8">
        <f t="shared" si="0"/>
        <v>18</v>
      </c>
      <c r="C55" s="10" t="s">
        <v>473</v>
      </c>
      <c r="D55" s="10">
        <f t="shared" si="1"/>
        <v>18</v>
      </c>
      <c r="E55" s="10" t="s">
        <v>310</v>
      </c>
      <c r="F55" s="10">
        <f t="shared" si="2"/>
        <v>18</v>
      </c>
      <c r="G55" s="21" t="s">
        <v>217</v>
      </c>
      <c r="H55">
        <f t="shared" si="3"/>
        <v>27</v>
      </c>
    </row>
    <row r="56" spans="1:8" x14ac:dyDescent="0.3">
      <c r="A56" s="8" t="s">
        <v>560</v>
      </c>
      <c r="B56" s="8">
        <f t="shared" si="0"/>
        <v>18</v>
      </c>
      <c r="C56" s="10" t="s">
        <v>474</v>
      </c>
      <c r="D56" s="10">
        <f t="shared" si="1"/>
        <v>18</v>
      </c>
      <c r="E56" s="10" t="s">
        <v>310</v>
      </c>
      <c r="F56" s="10">
        <f t="shared" si="2"/>
        <v>18</v>
      </c>
      <c r="G56" s="21" t="s">
        <v>218</v>
      </c>
      <c r="H56">
        <f t="shared" si="3"/>
        <v>28</v>
      </c>
    </row>
    <row r="57" spans="1:8" x14ac:dyDescent="0.3">
      <c r="A57" s="8" t="s">
        <v>561</v>
      </c>
      <c r="B57" s="8">
        <f t="shared" si="0"/>
        <v>18</v>
      </c>
      <c r="C57" s="10" t="s">
        <v>475</v>
      </c>
      <c r="D57" s="10">
        <f t="shared" si="1"/>
        <v>18</v>
      </c>
      <c r="E57" s="10" t="s">
        <v>310</v>
      </c>
      <c r="F57" s="10">
        <f t="shared" si="2"/>
        <v>18</v>
      </c>
      <c r="G57" s="21" t="s">
        <v>219</v>
      </c>
      <c r="H57">
        <f t="shared" si="3"/>
        <v>19</v>
      </c>
    </row>
    <row r="58" spans="1:8" x14ac:dyDescent="0.3">
      <c r="A58" s="8" t="s">
        <v>562</v>
      </c>
      <c r="B58" s="8">
        <f t="shared" si="0"/>
        <v>18</v>
      </c>
      <c r="C58" s="10" t="s">
        <v>476</v>
      </c>
      <c r="D58" s="10">
        <f t="shared" si="1"/>
        <v>18</v>
      </c>
      <c r="E58" s="10" t="s">
        <v>310</v>
      </c>
      <c r="F58" s="10">
        <f t="shared" si="2"/>
        <v>18</v>
      </c>
      <c r="G58" s="21" t="s">
        <v>220</v>
      </c>
      <c r="H58">
        <f t="shared" si="3"/>
        <v>10</v>
      </c>
    </row>
    <row r="59" spans="1:8" x14ac:dyDescent="0.3">
      <c r="A59" s="8" t="s">
        <v>563</v>
      </c>
      <c r="B59" s="8">
        <f t="shared" si="0"/>
        <v>18</v>
      </c>
      <c r="C59" s="10" t="s">
        <v>477</v>
      </c>
      <c r="D59" s="10">
        <f t="shared" si="1"/>
        <v>18</v>
      </c>
      <c r="E59" s="10" t="s">
        <v>310</v>
      </c>
      <c r="F59" s="10">
        <f t="shared" si="2"/>
        <v>18</v>
      </c>
      <c r="G59" s="22" t="s">
        <v>221</v>
      </c>
      <c r="H59">
        <f t="shared" si="3"/>
        <v>11</v>
      </c>
    </row>
    <row r="60" spans="1:8" x14ac:dyDescent="0.3">
      <c r="A60" s="8" t="s">
        <v>564</v>
      </c>
      <c r="B60" s="8">
        <f t="shared" si="0"/>
        <v>18</v>
      </c>
      <c r="C60" s="10" t="s">
        <v>478</v>
      </c>
      <c r="D60" s="10">
        <f t="shared" si="1"/>
        <v>18</v>
      </c>
      <c r="E60" s="10" t="s">
        <v>311</v>
      </c>
      <c r="F60" s="10">
        <f t="shared" si="2"/>
        <v>18</v>
      </c>
      <c r="G60" s="22" t="s">
        <v>241</v>
      </c>
      <c r="H60">
        <f t="shared" si="3"/>
        <v>10</v>
      </c>
    </row>
    <row r="61" spans="1:8" x14ac:dyDescent="0.3">
      <c r="A61" s="8" t="s">
        <v>565</v>
      </c>
      <c r="B61" s="8">
        <f t="shared" si="0"/>
        <v>18</v>
      </c>
      <c r="C61" s="10" t="s">
        <v>479</v>
      </c>
      <c r="D61" s="10">
        <f t="shared" si="1"/>
        <v>18</v>
      </c>
      <c r="E61" s="10" t="s">
        <v>311</v>
      </c>
      <c r="F61" s="10">
        <f t="shared" si="2"/>
        <v>18</v>
      </c>
      <c r="G61" s="21" t="s">
        <v>242</v>
      </c>
      <c r="H61">
        <f t="shared" si="3"/>
        <v>6</v>
      </c>
    </row>
    <row r="62" spans="1:8" x14ac:dyDescent="0.3">
      <c r="A62" s="8" t="s">
        <v>566</v>
      </c>
      <c r="B62" s="8">
        <f t="shared" si="0"/>
        <v>18</v>
      </c>
      <c r="C62" s="10" t="s">
        <v>480</v>
      </c>
      <c r="D62" s="10">
        <f t="shared" si="1"/>
        <v>18</v>
      </c>
      <c r="E62" s="10" t="s">
        <v>311</v>
      </c>
      <c r="F62" s="10">
        <f t="shared" si="2"/>
        <v>18</v>
      </c>
      <c r="G62" s="22" t="s">
        <v>243</v>
      </c>
      <c r="H62">
        <f t="shared" si="3"/>
        <v>13</v>
      </c>
    </row>
    <row r="63" spans="1:8" x14ac:dyDescent="0.3">
      <c r="A63" s="8" t="s">
        <v>567</v>
      </c>
      <c r="B63" s="8">
        <f t="shared" si="0"/>
        <v>18</v>
      </c>
      <c r="C63" s="10" t="s">
        <v>481</v>
      </c>
      <c r="D63" s="10">
        <f t="shared" si="1"/>
        <v>18</v>
      </c>
      <c r="E63" s="10" t="s">
        <v>311</v>
      </c>
      <c r="F63" s="10">
        <f t="shared" si="2"/>
        <v>18</v>
      </c>
      <c r="G63" s="22" t="s">
        <v>244</v>
      </c>
      <c r="H63">
        <f t="shared" si="3"/>
        <v>12</v>
      </c>
    </row>
    <row r="64" spans="1:8" x14ac:dyDescent="0.3">
      <c r="A64" s="8" t="s">
        <v>568</v>
      </c>
      <c r="B64" s="8">
        <f t="shared" si="0"/>
        <v>18</v>
      </c>
      <c r="C64" s="10" t="s">
        <v>482</v>
      </c>
      <c r="D64" s="10">
        <f t="shared" si="1"/>
        <v>18</v>
      </c>
      <c r="E64" s="10" t="s">
        <v>311</v>
      </c>
      <c r="F64" s="10">
        <f t="shared" si="2"/>
        <v>18</v>
      </c>
      <c r="G64" s="22" t="s">
        <v>245</v>
      </c>
      <c r="H64">
        <f t="shared" si="3"/>
        <v>18</v>
      </c>
    </row>
    <row r="65" spans="1:8" x14ac:dyDescent="0.3">
      <c r="A65" s="8" t="s">
        <v>569</v>
      </c>
      <c r="B65" s="8">
        <f t="shared" si="0"/>
        <v>18</v>
      </c>
      <c r="C65" s="10" t="s">
        <v>483</v>
      </c>
      <c r="D65" s="10">
        <f t="shared" si="1"/>
        <v>18</v>
      </c>
      <c r="E65" s="10" t="s">
        <v>311</v>
      </c>
      <c r="F65" s="10">
        <f t="shared" si="2"/>
        <v>18</v>
      </c>
      <c r="G65" s="21" t="s">
        <v>246</v>
      </c>
      <c r="H65">
        <f t="shared" si="3"/>
        <v>6</v>
      </c>
    </row>
    <row r="66" spans="1:8" x14ac:dyDescent="0.3">
      <c r="A66" s="8" t="s">
        <v>570</v>
      </c>
      <c r="B66" s="8">
        <f t="shared" si="0"/>
        <v>18</v>
      </c>
      <c r="C66" s="10" t="s">
        <v>484</v>
      </c>
      <c r="D66" s="10">
        <f t="shared" si="1"/>
        <v>18</v>
      </c>
      <c r="E66" s="10" t="s">
        <v>311</v>
      </c>
      <c r="F66" s="10">
        <f t="shared" si="2"/>
        <v>18</v>
      </c>
      <c r="G66" s="21" t="s">
        <v>247</v>
      </c>
      <c r="H66">
        <f t="shared" si="3"/>
        <v>4</v>
      </c>
    </row>
    <row r="67" spans="1:8" x14ac:dyDescent="0.3">
      <c r="A67" s="8" t="s">
        <v>571</v>
      </c>
      <c r="B67" s="8">
        <f t="shared" ref="B67:B86" si="4">LEN(A67)</f>
        <v>18</v>
      </c>
      <c r="C67" s="10" t="s">
        <v>485</v>
      </c>
      <c r="D67" s="10">
        <f t="shared" ref="D67:D86" si="5">LEN(C67)</f>
        <v>18</v>
      </c>
      <c r="E67" s="10" t="s">
        <v>311</v>
      </c>
      <c r="F67" s="10">
        <f t="shared" ref="F67:F86" si="6">LEN(E67)</f>
        <v>18</v>
      </c>
      <c r="G67" s="22" t="s">
        <v>248</v>
      </c>
      <c r="H67">
        <f t="shared" ref="H67:H86" si="7">LEN(G67)</f>
        <v>13</v>
      </c>
    </row>
    <row r="68" spans="1:8" x14ac:dyDescent="0.3">
      <c r="A68" s="8" t="s">
        <v>572</v>
      </c>
      <c r="B68" s="8">
        <f t="shared" si="4"/>
        <v>18</v>
      </c>
      <c r="C68" s="10" t="s">
        <v>486</v>
      </c>
      <c r="D68" s="10">
        <f t="shared" si="5"/>
        <v>18</v>
      </c>
      <c r="E68" s="10" t="s">
        <v>311</v>
      </c>
      <c r="F68" s="10">
        <f t="shared" si="6"/>
        <v>18</v>
      </c>
      <c r="G68" s="22" t="s">
        <v>249</v>
      </c>
      <c r="H68">
        <f t="shared" si="7"/>
        <v>15</v>
      </c>
    </row>
    <row r="69" spans="1:8" x14ac:dyDescent="0.3">
      <c r="A69" s="8" t="s">
        <v>573</v>
      </c>
      <c r="B69" s="8">
        <f t="shared" si="4"/>
        <v>18</v>
      </c>
      <c r="C69" s="10" t="s">
        <v>487</v>
      </c>
      <c r="D69" s="10">
        <f t="shared" si="5"/>
        <v>18</v>
      </c>
      <c r="E69" s="10" t="s">
        <v>312</v>
      </c>
      <c r="F69" s="10">
        <f t="shared" si="6"/>
        <v>18</v>
      </c>
      <c r="G69" s="21" t="s">
        <v>268</v>
      </c>
      <c r="H69">
        <f t="shared" si="7"/>
        <v>23</v>
      </c>
    </row>
    <row r="70" spans="1:8" x14ac:dyDescent="0.3">
      <c r="A70" s="8" t="s">
        <v>574</v>
      </c>
      <c r="B70" s="8">
        <f t="shared" si="4"/>
        <v>18</v>
      </c>
      <c r="C70" s="10" t="s">
        <v>488</v>
      </c>
      <c r="D70" s="10">
        <f t="shared" si="5"/>
        <v>18</v>
      </c>
      <c r="E70" s="10" t="s">
        <v>312</v>
      </c>
      <c r="F70" s="10">
        <f t="shared" si="6"/>
        <v>18</v>
      </c>
      <c r="G70" s="21" t="s">
        <v>269</v>
      </c>
      <c r="H70">
        <f t="shared" si="7"/>
        <v>20</v>
      </c>
    </row>
    <row r="71" spans="1:8" x14ac:dyDescent="0.3">
      <c r="A71" s="8" t="s">
        <v>575</v>
      </c>
      <c r="B71" s="8">
        <f t="shared" si="4"/>
        <v>18</v>
      </c>
      <c r="C71" s="10" t="s">
        <v>489</v>
      </c>
      <c r="D71" s="10">
        <f t="shared" si="5"/>
        <v>18</v>
      </c>
      <c r="E71" s="10" t="s">
        <v>312</v>
      </c>
      <c r="F71" s="10">
        <f t="shared" si="6"/>
        <v>18</v>
      </c>
      <c r="G71" s="22" t="s">
        <v>270</v>
      </c>
      <c r="H71">
        <f t="shared" si="7"/>
        <v>14</v>
      </c>
    </row>
    <row r="72" spans="1:8" x14ac:dyDescent="0.3">
      <c r="A72" s="8" t="s">
        <v>576</v>
      </c>
      <c r="B72" s="8">
        <f t="shared" si="4"/>
        <v>18</v>
      </c>
      <c r="C72" s="10" t="s">
        <v>490</v>
      </c>
      <c r="D72" s="10">
        <f t="shared" si="5"/>
        <v>18</v>
      </c>
      <c r="E72" s="10" t="s">
        <v>312</v>
      </c>
      <c r="F72" s="10">
        <f t="shared" si="6"/>
        <v>18</v>
      </c>
      <c r="G72" s="22" t="s">
        <v>271</v>
      </c>
      <c r="H72">
        <f t="shared" si="7"/>
        <v>11</v>
      </c>
    </row>
    <row r="73" spans="1:8" x14ac:dyDescent="0.3">
      <c r="A73" s="8" t="s">
        <v>577</v>
      </c>
      <c r="B73" s="8">
        <f t="shared" si="4"/>
        <v>18</v>
      </c>
      <c r="C73" s="10" t="s">
        <v>491</v>
      </c>
      <c r="D73" s="10">
        <f t="shared" si="5"/>
        <v>18</v>
      </c>
      <c r="E73" s="10" t="s">
        <v>312</v>
      </c>
      <c r="F73" s="10">
        <f t="shared" si="6"/>
        <v>18</v>
      </c>
      <c r="G73" s="21" t="s">
        <v>272</v>
      </c>
      <c r="H73">
        <f t="shared" si="7"/>
        <v>12</v>
      </c>
    </row>
    <row r="74" spans="1:8" x14ac:dyDescent="0.3">
      <c r="A74" s="8" t="s">
        <v>578</v>
      </c>
      <c r="B74" s="8">
        <f t="shared" si="4"/>
        <v>18</v>
      </c>
      <c r="C74" s="10" t="s">
        <v>492</v>
      </c>
      <c r="D74" s="10">
        <f t="shared" si="5"/>
        <v>18</v>
      </c>
      <c r="E74" s="10" t="s">
        <v>312</v>
      </c>
      <c r="F74" s="10">
        <f t="shared" si="6"/>
        <v>18</v>
      </c>
      <c r="G74" s="21" t="s">
        <v>273</v>
      </c>
      <c r="H74">
        <f t="shared" si="7"/>
        <v>13</v>
      </c>
    </row>
    <row r="75" spans="1:8" x14ac:dyDescent="0.3">
      <c r="A75" s="8" t="s">
        <v>579</v>
      </c>
      <c r="B75" s="8">
        <f t="shared" si="4"/>
        <v>18</v>
      </c>
      <c r="C75" s="10" t="s">
        <v>493</v>
      </c>
      <c r="D75" s="10">
        <f t="shared" si="5"/>
        <v>18</v>
      </c>
      <c r="E75" s="10" t="s">
        <v>312</v>
      </c>
      <c r="F75" s="10">
        <f t="shared" si="6"/>
        <v>18</v>
      </c>
      <c r="G75" s="22" t="s">
        <v>274</v>
      </c>
      <c r="H75">
        <f t="shared" si="7"/>
        <v>13</v>
      </c>
    </row>
    <row r="76" spans="1:8" x14ac:dyDescent="0.3">
      <c r="A76" s="8" t="s">
        <v>580</v>
      </c>
      <c r="B76" s="8">
        <f t="shared" si="4"/>
        <v>18</v>
      </c>
      <c r="C76" s="10" t="s">
        <v>494</v>
      </c>
      <c r="D76" s="10">
        <f t="shared" si="5"/>
        <v>18</v>
      </c>
      <c r="E76" s="10" t="s">
        <v>312</v>
      </c>
      <c r="F76" s="10">
        <f t="shared" si="6"/>
        <v>18</v>
      </c>
      <c r="G76" s="21" t="s">
        <v>275</v>
      </c>
      <c r="H76">
        <f t="shared" si="7"/>
        <v>25</v>
      </c>
    </row>
    <row r="77" spans="1:8" x14ac:dyDescent="0.3">
      <c r="A77" s="8" t="s">
        <v>581</v>
      </c>
      <c r="B77" s="8">
        <f t="shared" si="4"/>
        <v>18</v>
      </c>
      <c r="C77" s="10" t="s">
        <v>495</v>
      </c>
      <c r="D77" s="10">
        <f t="shared" si="5"/>
        <v>18</v>
      </c>
      <c r="E77" s="10" t="s">
        <v>312</v>
      </c>
      <c r="F77" s="10">
        <f t="shared" si="6"/>
        <v>18</v>
      </c>
      <c r="G77" s="22" t="s">
        <v>276</v>
      </c>
      <c r="H77">
        <f t="shared" si="7"/>
        <v>18</v>
      </c>
    </row>
    <row r="78" spans="1:8" x14ac:dyDescent="0.3">
      <c r="A78" s="8" t="s">
        <v>582</v>
      </c>
      <c r="B78" s="8">
        <f t="shared" si="4"/>
        <v>18</v>
      </c>
      <c r="C78" s="10" t="s">
        <v>496</v>
      </c>
      <c r="D78" s="10">
        <f t="shared" si="5"/>
        <v>18</v>
      </c>
      <c r="E78" s="10" t="s">
        <v>313</v>
      </c>
      <c r="F78" s="10">
        <f t="shared" si="6"/>
        <v>18</v>
      </c>
      <c r="G78" s="22" t="s">
        <v>292</v>
      </c>
      <c r="H78">
        <f t="shared" si="7"/>
        <v>13</v>
      </c>
    </row>
    <row r="79" spans="1:8" x14ac:dyDescent="0.3">
      <c r="A79" s="8" t="s">
        <v>583</v>
      </c>
      <c r="B79" s="8">
        <f t="shared" si="4"/>
        <v>18</v>
      </c>
      <c r="C79" s="10" t="s">
        <v>497</v>
      </c>
      <c r="D79" s="10">
        <f t="shared" si="5"/>
        <v>18</v>
      </c>
      <c r="E79" s="10" t="s">
        <v>313</v>
      </c>
      <c r="F79" s="10">
        <f t="shared" si="6"/>
        <v>18</v>
      </c>
      <c r="G79" s="22" t="s">
        <v>293</v>
      </c>
      <c r="H79">
        <f t="shared" si="7"/>
        <v>15</v>
      </c>
    </row>
    <row r="80" spans="1:8" x14ac:dyDescent="0.3">
      <c r="A80" s="8" t="s">
        <v>584</v>
      </c>
      <c r="B80" s="8">
        <f t="shared" si="4"/>
        <v>18</v>
      </c>
      <c r="C80" s="10" t="s">
        <v>498</v>
      </c>
      <c r="D80" s="10">
        <f t="shared" si="5"/>
        <v>18</v>
      </c>
      <c r="E80" s="10" t="s">
        <v>313</v>
      </c>
      <c r="F80" s="10">
        <f t="shared" si="6"/>
        <v>18</v>
      </c>
      <c r="G80" s="22" t="s">
        <v>294</v>
      </c>
      <c r="H80">
        <f t="shared" si="7"/>
        <v>13</v>
      </c>
    </row>
    <row r="81" spans="1:8" x14ac:dyDescent="0.3">
      <c r="A81" s="8" t="s">
        <v>585</v>
      </c>
      <c r="B81" s="8">
        <f t="shared" si="4"/>
        <v>18</v>
      </c>
      <c r="C81" s="10" t="s">
        <v>499</v>
      </c>
      <c r="D81" s="10">
        <f t="shared" si="5"/>
        <v>18</v>
      </c>
      <c r="E81" s="10" t="s">
        <v>313</v>
      </c>
      <c r="F81" s="10">
        <f t="shared" si="6"/>
        <v>18</v>
      </c>
      <c r="G81" s="22" t="s">
        <v>295</v>
      </c>
      <c r="H81">
        <f t="shared" si="7"/>
        <v>5</v>
      </c>
    </row>
    <row r="82" spans="1:8" x14ac:dyDescent="0.3">
      <c r="A82" s="8" t="s">
        <v>586</v>
      </c>
      <c r="B82" s="8">
        <f t="shared" si="4"/>
        <v>18</v>
      </c>
      <c r="C82" s="10" t="s">
        <v>500</v>
      </c>
      <c r="D82" s="10">
        <f t="shared" si="5"/>
        <v>18</v>
      </c>
      <c r="E82" s="10" t="s">
        <v>313</v>
      </c>
      <c r="F82" s="10">
        <f t="shared" si="6"/>
        <v>18</v>
      </c>
      <c r="G82" s="22" t="s">
        <v>296</v>
      </c>
      <c r="H82">
        <f t="shared" si="7"/>
        <v>14</v>
      </c>
    </row>
    <row r="83" spans="1:8" x14ac:dyDescent="0.3">
      <c r="A83" s="8" t="s">
        <v>587</v>
      </c>
      <c r="B83" s="8">
        <f t="shared" si="4"/>
        <v>18</v>
      </c>
      <c r="C83" s="10" t="s">
        <v>501</v>
      </c>
      <c r="D83" s="10">
        <f t="shared" si="5"/>
        <v>18</v>
      </c>
      <c r="E83" s="10" t="s">
        <v>313</v>
      </c>
      <c r="F83" s="10">
        <f t="shared" si="6"/>
        <v>18</v>
      </c>
      <c r="G83" s="22" t="s">
        <v>297</v>
      </c>
      <c r="H83">
        <f t="shared" si="7"/>
        <v>14</v>
      </c>
    </row>
    <row r="84" spans="1:8" x14ac:dyDescent="0.3">
      <c r="A84" s="8" t="s">
        <v>588</v>
      </c>
      <c r="B84" s="8">
        <f t="shared" si="4"/>
        <v>18</v>
      </c>
      <c r="C84" s="10" t="s">
        <v>502</v>
      </c>
      <c r="D84" s="10">
        <f t="shared" si="5"/>
        <v>18</v>
      </c>
      <c r="E84" s="10" t="s">
        <v>313</v>
      </c>
      <c r="F84" s="10">
        <f t="shared" si="6"/>
        <v>18</v>
      </c>
      <c r="G84" s="22" t="s">
        <v>298</v>
      </c>
      <c r="H84">
        <f t="shared" si="7"/>
        <v>15</v>
      </c>
    </row>
    <row r="85" spans="1:8" x14ac:dyDescent="0.3">
      <c r="A85" s="8" t="s">
        <v>589</v>
      </c>
      <c r="B85" s="8">
        <f t="shared" si="4"/>
        <v>18</v>
      </c>
      <c r="C85" s="10" t="s">
        <v>503</v>
      </c>
      <c r="D85" s="10">
        <f t="shared" si="5"/>
        <v>18</v>
      </c>
      <c r="E85" s="10" t="s">
        <v>313</v>
      </c>
      <c r="F85" s="10">
        <f t="shared" si="6"/>
        <v>18</v>
      </c>
      <c r="G85" s="21" t="s">
        <v>1</v>
      </c>
      <c r="H85">
        <f t="shared" si="7"/>
        <v>8</v>
      </c>
    </row>
    <row r="86" spans="1:8" x14ac:dyDescent="0.3">
      <c r="A86" s="8" t="s">
        <v>590</v>
      </c>
      <c r="B86" s="8">
        <f t="shared" si="4"/>
        <v>18</v>
      </c>
      <c r="C86" s="10" t="s">
        <v>504</v>
      </c>
      <c r="D86" s="10">
        <f t="shared" si="5"/>
        <v>18</v>
      </c>
      <c r="E86" s="10" t="s">
        <v>313</v>
      </c>
      <c r="F86" s="10">
        <f t="shared" si="6"/>
        <v>18</v>
      </c>
      <c r="G86" s="22" t="s">
        <v>299</v>
      </c>
      <c r="H86">
        <f t="shared" si="7"/>
        <v>18</v>
      </c>
    </row>
    <row r="87" spans="1:8" x14ac:dyDescent="0.3">
      <c r="B87" s="8">
        <f ca="1">MAX(B2:B87)</f>
        <v>0</v>
      </c>
      <c r="D87" s="10">
        <f>MAX(D2:D86)</f>
        <v>18</v>
      </c>
      <c r="F87" s="10">
        <f>MAX(F2:F86)</f>
        <v>18</v>
      </c>
      <c r="H87">
        <f>MAX(H2:H86)</f>
        <v>28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E5DC3-4939-4655-8278-1ABB20FAA1EA}">
  <dimension ref="A1:F83"/>
  <sheetViews>
    <sheetView topLeftCell="B51" workbookViewId="0">
      <selection activeCell="F84" sqref="F84"/>
    </sheetView>
  </sheetViews>
  <sheetFormatPr defaultRowHeight="16.5" x14ac:dyDescent="0.3"/>
  <cols>
    <col min="1" max="1" width="23.875" style="8" customWidth="1"/>
    <col min="2" max="2" width="6" style="8" customWidth="1"/>
    <col min="3" max="3" width="29.625" style="17" customWidth="1"/>
    <col min="4" max="4" width="5.25" style="17" customWidth="1"/>
    <col min="5" max="5" width="15.75" customWidth="1"/>
    <col min="6" max="6" width="4.875" customWidth="1"/>
  </cols>
  <sheetData>
    <row r="1" spans="1:6" x14ac:dyDescent="0.3">
      <c r="A1" s="8" t="s">
        <v>57</v>
      </c>
      <c r="C1" s="17" t="s">
        <v>58</v>
      </c>
      <c r="E1" t="s">
        <v>88</v>
      </c>
    </row>
    <row r="2" spans="1:6" x14ac:dyDescent="0.3">
      <c r="A2" s="8" t="s">
        <v>424</v>
      </c>
      <c r="B2" s="8">
        <f>LEN(A2)</f>
        <v>18</v>
      </c>
      <c r="C2" s="17" t="s">
        <v>60</v>
      </c>
      <c r="D2" s="17">
        <f>LEN(C2)</f>
        <v>4</v>
      </c>
      <c r="E2" t="s">
        <v>89</v>
      </c>
      <c r="F2">
        <f>LEN(E2)</f>
        <v>5</v>
      </c>
    </row>
    <row r="3" spans="1:6" x14ac:dyDescent="0.3">
      <c r="A3" s="8" t="s">
        <v>425</v>
      </c>
      <c r="B3" s="8">
        <f t="shared" ref="B3:B66" si="0">LEN(A3)</f>
        <v>18</v>
      </c>
      <c r="C3" s="17" t="s">
        <v>62</v>
      </c>
      <c r="D3" s="17">
        <f t="shared" ref="D3:D66" si="1">LEN(C3)</f>
        <v>4</v>
      </c>
      <c r="E3" t="s">
        <v>89</v>
      </c>
      <c r="F3">
        <f t="shared" ref="F3:F66" si="2">LEN(E3)</f>
        <v>5</v>
      </c>
    </row>
    <row r="4" spans="1:6" x14ac:dyDescent="0.3">
      <c r="A4" s="8" t="s">
        <v>426</v>
      </c>
      <c r="B4" s="8">
        <f t="shared" si="0"/>
        <v>18</v>
      </c>
      <c r="C4" s="17" t="s">
        <v>63</v>
      </c>
      <c r="D4" s="17">
        <f t="shared" si="1"/>
        <v>3</v>
      </c>
      <c r="E4" t="s">
        <v>89</v>
      </c>
      <c r="F4">
        <f t="shared" si="2"/>
        <v>5</v>
      </c>
    </row>
    <row r="5" spans="1:6" x14ac:dyDescent="0.3">
      <c r="A5" s="8" t="s">
        <v>427</v>
      </c>
      <c r="B5" s="8">
        <f t="shared" si="0"/>
        <v>18</v>
      </c>
      <c r="C5" s="17" t="s">
        <v>64</v>
      </c>
      <c r="D5" s="17">
        <f t="shared" si="1"/>
        <v>3</v>
      </c>
      <c r="E5" t="s">
        <v>89</v>
      </c>
      <c r="F5">
        <f t="shared" si="2"/>
        <v>5</v>
      </c>
    </row>
    <row r="6" spans="1:6" x14ac:dyDescent="0.3">
      <c r="A6" s="8" t="s">
        <v>428</v>
      </c>
      <c r="B6" s="8">
        <f t="shared" si="0"/>
        <v>18</v>
      </c>
      <c r="C6" s="17" t="s">
        <v>68</v>
      </c>
      <c r="D6" s="17">
        <f t="shared" si="1"/>
        <v>3</v>
      </c>
      <c r="E6" t="s">
        <v>89</v>
      </c>
      <c r="F6">
        <f t="shared" si="2"/>
        <v>5</v>
      </c>
    </row>
    <row r="7" spans="1:6" x14ac:dyDescent="0.3">
      <c r="A7" s="8" t="s">
        <v>429</v>
      </c>
      <c r="B7" s="8">
        <f t="shared" si="0"/>
        <v>18</v>
      </c>
      <c r="C7" s="17" t="s">
        <v>69</v>
      </c>
      <c r="D7" s="17">
        <f t="shared" si="1"/>
        <v>3</v>
      </c>
      <c r="E7" t="s">
        <v>89</v>
      </c>
      <c r="F7">
        <f t="shared" si="2"/>
        <v>5</v>
      </c>
    </row>
    <row r="8" spans="1:6" x14ac:dyDescent="0.3">
      <c r="A8" s="8" t="s">
        <v>430</v>
      </c>
      <c r="B8" s="8">
        <f t="shared" si="0"/>
        <v>18</v>
      </c>
      <c r="C8" s="17" t="s">
        <v>71</v>
      </c>
      <c r="D8" s="17">
        <f t="shared" si="1"/>
        <v>3</v>
      </c>
      <c r="E8" t="s">
        <v>89</v>
      </c>
      <c r="F8">
        <f t="shared" si="2"/>
        <v>5</v>
      </c>
    </row>
    <row r="9" spans="1:6" x14ac:dyDescent="0.3">
      <c r="A9" s="8" t="s">
        <v>431</v>
      </c>
      <c r="B9" s="8">
        <f t="shared" si="0"/>
        <v>18</v>
      </c>
      <c r="C9" s="17" t="s">
        <v>72</v>
      </c>
      <c r="D9" s="17">
        <f t="shared" si="1"/>
        <v>7</v>
      </c>
      <c r="E9" t="s">
        <v>89</v>
      </c>
      <c r="F9">
        <f t="shared" si="2"/>
        <v>5</v>
      </c>
    </row>
    <row r="10" spans="1:6" x14ac:dyDescent="0.3">
      <c r="A10" s="8" t="s">
        <v>432</v>
      </c>
      <c r="B10" s="8">
        <f t="shared" si="0"/>
        <v>18</v>
      </c>
      <c r="C10" s="17" t="s">
        <v>81</v>
      </c>
      <c r="D10" s="17">
        <f t="shared" si="1"/>
        <v>8</v>
      </c>
      <c r="E10" t="s">
        <v>89</v>
      </c>
      <c r="F10">
        <f t="shared" si="2"/>
        <v>5</v>
      </c>
    </row>
    <row r="11" spans="1:6" x14ac:dyDescent="0.3">
      <c r="A11" s="8" t="s">
        <v>433</v>
      </c>
      <c r="B11" s="8">
        <f t="shared" si="0"/>
        <v>18</v>
      </c>
      <c r="C11" s="17" t="s">
        <v>90</v>
      </c>
      <c r="D11" s="17">
        <f t="shared" si="1"/>
        <v>6</v>
      </c>
      <c r="E11" t="s">
        <v>89</v>
      </c>
      <c r="F11">
        <f t="shared" si="2"/>
        <v>5</v>
      </c>
    </row>
    <row r="12" spans="1:6" x14ac:dyDescent="0.3">
      <c r="A12" s="8" t="s">
        <v>434</v>
      </c>
      <c r="B12" s="8">
        <f t="shared" si="0"/>
        <v>18</v>
      </c>
      <c r="C12" s="17" t="s">
        <v>91</v>
      </c>
      <c r="D12" s="17">
        <f t="shared" si="1"/>
        <v>4</v>
      </c>
      <c r="E12" t="s">
        <v>89</v>
      </c>
      <c r="F12">
        <f t="shared" si="2"/>
        <v>5</v>
      </c>
    </row>
    <row r="13" spans="1:6" x14ac:dyDescent="0.3">
      <c r="A13" s="8" t="s">
        <v>435</v>
      </c>
      <c r="B13" s="8">
        <f t="shared" si="0"/>
        <v>18</v>
      </c>
      <c r="C13" s="17" t="s">
        <v>92</v>
      </c>
      <c r="D13" s="17">
        <f t="shared" si="1"/>
        <v>6</v>
      </c>
      <c r="E13" t="s">
        <v>89</v>
      </c>
      <c r="F13">
        <f t="shared" si="2"/>
        <v>5</v>
      </c>
    </row>
    <row r="14" spans="1:6" x14ac:dyDescent="0.3">
      <c r="A14" s="8" t="s">
        <v>436</v>
      </c>
      <c r="B14" s="8">
        <f t="shared" si="0"/>
        <v>18</v>
      </c>
      <c r="C14" s="17" t="s">
        <v>93</v>
      </c>
      <c r="D14" s="17">
        <f t="shared" si="1"/>
        <v>5</v>
      </c>
      <c r="E14" t="s">
        <v>89</v>
      </c>
      <c r="F14">
        <f t="shared" si="2"/>
        <v>5</v>
      </c>
    </row>
    <row r="15" spans="1:6" x14ac:dyDescent="0.3">
      <c r="A15" s="8" t="s">
        <v>437</v>
      </c>
      <c r="B15" s="8">
        <f t="shared" si="0"/>
        <v>18</v>
      </c>
      <c r="C15" s="2" t="s">
        <v>98</v>
      </c>
      <c r="D15" s="17">
        <f t="shared" si="1"/>
        <v>10</v>
      </c>
      <c r="E15" t="s">
        <v>89</v>
      </c>
      <c r="F15">
        <f t="shared" si="2"/>
        <v>5</v>
      </c>
    </row>
    <row r="16" spans="1:6" x14ac:dyDescent="0.3">
      <c r="A16" s="8" t="s">
        <v>438</v>
      </c>
      <c r="B16" s="8">
        <f t="shared" si="0"/>
        <v>18</v>
      </c>
      <c r="C16" s="2" t="s">
        <v>97</v>
      </c>
      <c r="D16" s="17">
        <f t="shared" si="1"/>
        <v>12</v>
      </c>
      <c r="E16" t="s">
        <v>89</v>
      </c>
      <c r="F16">
        <f t="shared" si="2"/>
        <v>5</v>
      </c>
    </row>
    <row r="17" spans="1:6" x14ac:dyDescent="0.3">
      <c r="A17" s="8" t="s">
        <v>439</v>
      </c>
      <c r="B17" s="8">
        <f t="shared" si="0"/>
        <v>18</v>
      </c>
      <c r="C17" s="2" t="s">
        <v>96</v>
      </c>
      <c r="D17" s="17">
        <f t="shared" si="1"/>
        <v>15</v>
      </c>
      <c r="E17" t="s">
        <v>89</v>
      </c>
      <c r="F17">
        <f t="shared" si="2"/>
        <v>5</v>
      </c>
    </row>
    <row r="18" spans="1:6" x14ac:dyDescent="0.3">
      <c r="A18" s="8" t="s">
        <v>440</v>
      </c>
      <c r="B18" s="8">
        <f t="shared" si="0"/>
        <v>18</v>
      </c>
      <c r="C18" s="2" t="s">
        <v>95</v>
      </c>
      <c r="D18" s="17">
        <f t="shared" si="1"/>
        <v>11</v>
      </c>
      <c r="E18" t="s">
        <v>89</v>
      </c>
      <c r="F18">
        <f t="shared" si="2"/>
        <v>5</v>
      </c>
    </row>
    <row r="19" spans="1:6" x14ac:dyDescent="0.3">
      <c r="A19" s="8" t="s">
        <v>441</v>
      </c>
      <c r="B19" s="8">
        <f t="shared" si="0"/>
        <v>18</v>
      </c>
      <c r="C19" s="2" t="s">
        <v>94</v>
      </c>
      <c r="D19" s="17">
        <f t="shared" si="1"/>
        <v>12</v>
      </c>
      <c r="E19" t="s">
        <v>89</v>
      </c>
      <c r="F19">
        <f t="shared" si="2"/>
        <v>5</v>
      </c>
    </row>
    <row r="20" spans="1:6" x14ac:dyDescent="0.3">
      <c r="A20" s="8" t="s">
        <v>442</v>
      </c>
      <c r="B20" s="8">
        <f t="shared" si="0"/>
        <v>18</v>
      </c>
      <c r="C20" s="2" t="s">
        <v>120</v>
      </c>
      <c r="D20" s="17">
        <f t="shared" si="1"/>
        <v>7</v>
      </c>
      <c r="E20" t="s">
        <v>89</v>
      </c>
      <c r="F20">
        <f t="shared" si="2"/>
        <v>5</v>
      </c>
    </row>
    <row r="21" spans="1:6" x14ac:dyDescent="0.3">
      <c r="A21" s="8" t="s">
        <v>443</v>
      </c>
      <c r="B21" s="8">
        <f t="shared" si="0"/>
        <v>18</v>
      </c>
      <c r="C21" s="2" t="s">
        <v>121</v>
      </c>
      <c r="D21" s="17">
        <f t="shared" si="1"/>
        <v>6</v>
      </c>
      <c r="E21" t="s">
        <v>89</v>
      </c>
      <c r="F21">
        <f t="shared" si="2"/>
        <v>5</v>
      </c>
    </row>
    <row r="22" spans="1:6" x14ac:dyDescent="0.3">
      <c r="A22" s="8" t="s">
        <v>444</v>
      </c>
      <c r="B22" s="8">
        <f t="shared" si="0"/>
        <v>18</v>
      </c>
      <c r="C22" s="2" t="s">
        <v>122</v>
      </c>
      <c r="D22" s="17">
        <f t="shared" si="1"/>
        <v>6</v>
      </c>
      <c r="E22" t="s">
        <v>89</v>
      </c>
      <c r="F22">
        <f t="shared" si="2"/>
        <v>5</v>
      </c>
    </row>
    <row r="23" spans="1:6" x14ac:dyDescent="0.3">
      <c r="A23" s="8" t="s">
        <v>445</v>
      </c>
      <c r="B23" s="8">
        <f t="shared" si="0"/>
        <v>18</v>
      </c>
      <c r="C23" s="2" t="s">
        <v>123</v>
      </c>
      <c r="D23" s="17">
        <f t="shared" si="1"/>
        <v>8</v>
      </c>
      <c r="E23" t="s">
        <v>89</v>
      </c>
      <c r="F23">
        <f t="shared" si="2"/>
        <v>5</v>
      </c>
    </row>
    <row r="24" spans="1:6" x14ac:dyDescent="0.3">
      <c r="A24" s="8" t="s">
        <v>446</v>
      </c>
      <c r="B24" s="8">
        <f t="shared" si="0"/>
        <v>18</v>
      </c>
      <c r="C24" s="2" t="s">
        <v>124</v>
      </c>
      <c r="D24" s="17">
        <f t="shared" si="1"/>
        <v>7</v>
      </c>
      <c r="E24" t="s">
        <v>89</v>
      </c>
      <c r="F24">
        <f t="shared" si="2"/>
        <v>5</v>
      </c>
    </row>
    <row r="25" spans="1:6" x14ac:dyDescent="0.3">
      <c r="A25" s="8" t="s">
        <v>447</v>
      </c>
      <c r="B25" s="8">
        <f t="shared" si="0"/>
        <v>18</v>
      </c>
      <c r="C25" s="2" t="s">
        <v>125</v>
      </c>
      <c r="D25" s="17">
        <f t="shared" si="1"/>
        <v>6</v>
      </c>
      <c r="E25" t="s">
        <v>89</v>
      </c>
      <c r="F25">
        <f t="shared" si="2"/>
        <v>5</v>
      </c>
    </row>
    <row r="26" spans="1:6" x14ac:dyDescent="0.3">
      <c r="A26" s="8" t="s">
        <v>448</v>
      </c>
      <c r="B26" s="8">
        <f t="shared" si="0"/>
        <v>18</v>
      </c>
      <c r="C26" s="2" t="s">
        <v>126</v>
      </c>
      <c r="D26" s="17">
        <f t="shared" si="1"/>
        <v>7</v>
      </c>
      <c r="E26" t="s">
        <v>89</v>
      </c>
      <c r="F26">
        <f t="shared" si="2"/>
        <v>5</v>
      </c>
    </row>
    <row r="27" spans="1:6" x14ac:dyDescent="0.3">
      <c r="A27" s="8" t="s">
        <v>449</v>
      </c>
      <c r="B27" s="8">
        <f t="shared" si="0"/>
        <v>18</v>
      </c>
      <c r="C27" s="2" t="s">
        <v>127</v>
      </c>
      <c r="D27" s="17">
        <f t="shared" si="1"/>
        <v>6</v>
      </c>
      <c r="E27" t="s">
        <v>89</v>
      </c>
      <c r="F27">
        <f t="shared" si="2"/>
        <v>5</v>
      </c>
    </row>
    <row r="28" spans="1:6" x14ac:dyDescent="0.3">
      <c r="A28" s="8" t="s">
        <v>450</v>
      </c>
      <c r="B28" s="8">
        <f t="shared" si="0"/>
        <v>18</v>
      </c>
      <c r="C28" s="2" t="s">
        <v>128</v>
      </c>
      <c r="D28" s="17">
        <f t="shared" si="1"/>
        <v>6</v>
      </c>
      <c r="E28" t="s">
        <v>89</v>
      </c>
      <c r="F28">
        <f t="shared" si="2"/>
        <v>5</v>
      </c>
    </row>
    <row r="29" spans="1:6" x14ac:dyDescent="0.3">
      <c r="A29" s="8" t="s">
        <v>451</v>
      </c>
      <c r="B29" s="8">
        <f t="shared" si="0"/>
        <v>18</v>
      </c>
      <c r="C29" s="2" t="s">
        <v>156</v>
      </c>
      <c r="D29" s="17">
        <f t="shared" si="1"/>
        <v>7</v>
      </c>
      <c r="E29" t="s">
        <v>89</v>
      </c>
      <c r="F29">
        <f t="shared" si="2"/>
        <v>5</v>
      </c>
    </row>
    <row r="30" spans="1:6" x14ac:dyDescent="0.3">
      <c r="A30" s="8" t="s">
        <v>452</v>
      </c>
      <c r="B30" s="8">
        <f t="shared" si="0"/>
        <v>18</v>
      </c>
      <c r="C30" s="2" t="s">
        <v>157</v>
      </c>
      <c r="D30" s="17">
        <f t="shared" si="1"/>
        <v>6</v>
      </c>
      <c r="E30" t="s">
        <v>89</v>
      </c>
      <c r="F30">
        <f t="shared" si="2"/>
        <v>5</v>
      </c>
    </row>
    <row r="31" spans="1:6" x14ac:dyDescent="0.3">
      <c r="A31" s="8" t="s">
        <v>453</v>
      </c>
      <c r="B31" s="8">
        <f t="shared" si="0"/>
        <v>18</v>
      </c>
      <c r="C31" s="2" t="s">
        <v>158</v>
      </c>
      <c r="D31" s="17">
        <f t="shared" si="1"/>
        <v>6</v>
      </c>
      <c r="E31" t="s">
        <v>89</v>
      </c>
      <c r="F31">
        <f t="shared" si="2"/>
        <v>5</v>
      </c>
    </row>
    <row r="32" spans="1:6" x14ac:dyDescent="0.3">
      <c r="A32" s="8" t="s">
        <v>454</v>
      </c>
      <c r="B32" s="8">
        <f t="shared" si="0"/>
        <v>18</v>
      </c>
      <c r="C32" s="2" t="s">
        <v>159</v>
      </c>
      <c r="D32" s="17">
        <f t="shared" si="1"/>
        <v>7</v>
      </c>
      <c r="E32" t="s">
        <v>89</v>
      </c>
      <c r="F32">
        <f t="shared" si="2"/>
        <v>5</v>
      </c>
    </row>
    <row r="33" spans="1:6" x14ac:dyDescent="0.3">
      <c r="A33" s="8" t="s">
        <v>455</v>
      </c>
      <c r="B33" s="8">
        <f t="shared" si="0"/>
        <v>18</v>
      </c>
      <c r="C33" s="2" t="s">
        <v>160</v>
      </c>
      <c r="D33" s="17">
        <f t="shared" si="1"/>
        <v>8</v>
      </c>
      <c r="E33" t="s">
        <v>89</v>
      </c>
      <c r="F33">
        <f t="shared" si="2"/>
        <v>5</v>
      </c>
    </row>
    <row r="34" spans="1:6" x14ac:dyDescent="0.3">
      <c r="A34" s="8" t="s">
        <v>456</v>
      </c>
      <c r="B34" s="8">
        <f t="shared" si="0"/>
        <v>18</v>
      </c>
      <c r="C34" s="2" t="s">
        <v>161</v>
      </c>
      <c r="D34" s="17">
        <f t="shared" si="1"/>
        <v>7</v>
      </c>
      <c r="E34" t="s">
        <v>89</v>
      </c>
      <c r="F34">
        <f t="shared" si="2"/>
        <v>5</v>
      </c>
    </row>
    <row r="35" spans="1:6" x14ac:dyDescent="0.3">
      <c r="A35" s="8" t="s">
        <v>457</v>
      </c>
      <c r="B35" s="8">
        <f t="shared" si="0"/>
        <v>18</v>
      </c>
      <c r="C35" s="2" t="s">
        <v>162</v>
      </c>
      <c r="D35" s="17">
        <f t="shared" si="1"/>
        <v>8</v>
      </c>
      <c r="E35" t="s">
        <v>89</v>
      </c>
      <c r="F35">
        <f t="shared" si="2"/>
        <v>5</v>
      </c>
    </row>
    <row r="36" spans="1:6" x14ac:dyDescent="0.3">
      <c r="A36" s="8" t="s">
        <v>458</v>
      </c>
      <c r="B36" s="8">
        <f t="shared" si="0"/>
        <v>18</v>
      </c>
      <c r="C36" s="2" t="s">
        <v>163</v>
      </c>
      <c r="D36" s="17">
        <f t="shared" si="1"/>
        <v>6</v>
      </c>
      <c r="E36" t="s">
        <v>89</v>
      </c>
      <c r="F36">
        <f t="shared" si="2"/>
        <v>5</v>
      </c>
    </row>
    <row r="37" spans="1:6" x14ac:dyDescent="0.3">
      <c r="A37" s="8" t="s">
        <v>459</v>
      </c>
      <c r="B37" s="8">
        <f t="shared" si="0"/>
        <v>18</v>
      </c>
      <c r="C37" s="2" t="s">
        <v>164</v>
      </c>
      <c r="D37" s="17">
        <f t="shared" si="1"/>
        <v>7</v>
      </c>
      <c r="E37" t="s">
        <v>89</v>
      </c>
      <c r="F37">
        <f t="shared" si="2"/>
        <v>5</v>
      </c>
    </row>
    <row r="38" spans="1:6" x14ac:dyDescent="0.3">
      <c r="A38" s="8" t="s">
        <v>460</v>
      </c>
      <c r="B38" s="8">
        <f t="shared" si="0"/>
        <v>18</v>
      </c>
      <c r="C38" s="2" t="s">
        <v>176</v>
      </c>
      <c r="D38" s="17">
        <f t="shared" si="1"/>
        <v>7</v>
      </c>
      <c r="E38" t="s">
        <v>89</v>
      </c>
      <c r="F38">
        <f t="shared" si="2"/>
        <v>5</v>
      </c>
    </row>
    <row r="39" spans="1:6" x14ac:dyDescent="0.3">
      <c r="A39" s="8" t="s">
        <v>461</v>
      </c>
      <c r="B39" s="8">
        <f t="shared" si="0"/>
        <v>18</v>
      </c>
      <c r="C39" s="2" t="s">
        <v>177</v>
      </c>
      <c r="D39" s="17">
        <f t="shared" si="1"/>
        <v>3</v>
      </c>
      <c r="E39" t="s">
        <v>89</v>
      </c>
      <c r="F39">
        <f t="shared" si="2"/>
        <v>5</v>
      </c>
    </row>
    <row r="40" spans="1:6" x14ac:dyDescent="0.3">
      <c r="A40" s="8" t="s">
        <v>462</v>
      </c>
      <c r="B40" s="8">
        <f t="shared" si="0"/>
        <v>18</v>
      </c>
      <c r="C40" s="2" t="s">
        <v>178</v>
      </c>
      <c r="D40" s="17">
        <f t="shared" si="1"/>
        <v>6</v>
      </c>
      <c r="E40" t="s">
        <v>89</v>
      </c>
      <c r="F40">
        <f t="shared" si="2"/>
        <v>5</v>
      </c>
    </row>
    <row r="41" spans="1:6" x14ac:dyDescent="0.3">
      <c r="A41" s="8" t="s">
        <v>463</v>
      </c>
      <c r="B41" s="8">
        <f t="shared" si="0"/>
        <v>18</v>
      </c>
      <c r="C41" s="2" t="s">
        <v>179</v>
      </c>
      <c r="D41" s="17">
        <f t="shared" si="1"/>
        <v>4</v>
      </c>
      <c r="E41" t="s">
        <v>89</v>
      </c>
      <c r="F41">
        <f t="shared" si="2"/>
        <v>5</v>
      </c>
    </row>
    <row r="42" spans="1:6" x14ac:dyDescent="0.3">
      <c r="A42" s="8" t="s">
        <v>464</v>
      </c>
      <c r="B42" s="8">
        <f t="shared" si="0"/>
        <v>18</v>
      </c>
      <c r="C42" s="2" t="s">
        <v>180</v>
      </c>
      <c r="D42" s="17">
        <f t="shared" si="1"/>
        <v>6</v>
      </c>
      <c r="E42" t="s">
        <v>89</v>
      </c>
      <c r="F42">
        <f t="shared" si="2"/>
        <v>5</v>
      </c>
    </row>
    <row r="43" spans="1:6" x14ac:dyDescent="0.3">
      <c r="A43" s="8" t="s">
        <v>465</v>
      </c>
      <c r="B43" s="8">
        <f t="shared" si="0"/>
        <v>18</v>
      </c>
      <c r="C43" s="2" t="s">
        <v>181</v>
      </c>
      <c r="D43" s="17">
        <f t="shared" si="1"/>
        <v>5</v>
      </c>
      <c r="E43" t="s">
        <v>89</v>
      </c>
      <c r="F43">
        <f t="shared" si="2"/>
        <v>5</v>
      </c>
    </row>
    <row r="44" spans="1:6" x14ac:dyDescent="0.3">
      <c r="A44" s="8" t="s">
        <v>466</v>
      </c>
      <c r="B44" s="8">
        <f t="shared" si="0"/>
        <v>18</v>
      </c>
      <c r="C44" s="2" t="s">
        <v>182</v>
      </c>
      <c r="D44" s="17">
        <f t="shared" si="1"/>
        <v>8</v>
      </c>
      <c r="E44" t="s">
        <v>89</v>
      </c>
      <c r="F44">
        <f t="shared" si="2"/>
        <v>5</v>
      </c>
    </row>
    <row r="45" spans="1:6" x14ac:dyDescent="0.3">
      <c r="A45" s="8" t="s">
        <v>467</v>
      </c>
      <c r="B45" s="8">
        <f t="shared" si="0"/>
        <v>18</v>
      </c>
      <c r="C45" s="2" t="s">
        <v>183</v>
      </c>
      <c r="D45" s="17">
        <f t="shared" si="1"/>
        <v>6</v>
      </c>
      <c r="E45" t="s">
        <v>89</v>
      </c>
      <c r="F45">
        <f t="shared" si="2"/>
        <v>5</v>
      </c>
    </row>
    <row r="46" spans="1:6" x14ac:dyDescent="0.3">
      <c r="A46" s="8" t="s">
        <v>468</v>
      </c>
      <c r="B46" s="8">
        <f t="shared" si="0"/>
        <v>18</v>
      </c>
      <c r="C46" s="2" t="s">
        <v>184</v>
      </c>
      <c r="D46" s="17">
        <f t="shared" si="1"/>
        <v>3</v>
      </c>
      <c r="E46" t="s">
        <v>89</v>
      </c>
      <c r="F46">
        <f t="shared" si="2"/>
        <v>5</v>
      </c>
    </row>
    <row r="47" spans="1:6" x14ac:dyDescent="0.3">
      <c r="A47" s="8" t="s">
        <v>469</v>
      </c>
      <c r="B47" s="8">
        <f t="shared" si="0"/>
        <v>18</v>
      </c>
      <c r="C47" s="2" t="s">
        <v>204</v>
      </c>
      <c r="D47" s="17">
        <f t="shared" si="1"/>
        <v>5</v>
      </c>
      <c r="E47" t="s">
        <v>89</v>
      </c>
      <c r="F47">
        <f t="shared" si="2"/>
        <v>5</v>
      </c>
    </row>
    <row r="48" spans="1:6" x14ac:dyDescent="0.3">
      <c r="A48" s="8" t="s">
        <v>470</v>
      </c>
      <c r="B48" s="8">
        <f t="shared" si="0"/>
        <v>18</v>
      </c>
      <c r="C48" s="2" t="s">
        <v>205</v>
      </c>
      <c r="D48" s="17">
        <f t="shared" si="1"/>
        <v>11</v>
      </c>
      <c r="E48" t="s">
        <v>89</v>
      </c>
      <c r="F48">
        <f t="shared" si="2"/>
        <v>5</v>
      </c>
    </row>
    <row r="49" spans="1:6" x14ac:dyDescent="0.3">
      <c r="A49" s="8" t="s">
        <v>471</v>
      </c>
      <c r="B49" s="8">
        <f t="shared" si="0"/>
        <v>18</v>
      </c>
      <c r="C49" s="2" t="s">
        <v>206</v>
      </c>
      <c r="D49" s="17">
        <f t="shared" si="1"/>
        <v>13</v>
      </c>
      <c r="E49" t="s">
        <v>89</v>
      </c>
      <c r="F49">
        <f t="shared" si="2"/>
        <v>5</v>
      </c>
    </row>
    <row r="50" spans="1:6" x14ac:dyDescent="0.3">
      <c r="A50" s="8" t="s">
        <v>472</v>
      </c>
      <c r="B50" s="8">
        <f t="shared" si="0"/>
        <v>18</v>
      </c>
      <c r="C50" s="2" t="s">
        <v>207</v>
      </c>
      <c r="D50" s="17">
        <f t="shared" si="1"/>
        <v>7</v>
      </c>
      <c r="E50" t="s">
        <v>89</v>
      </c>
      <c r="F50">
        <f t="shared" si="2"/>
        <v>5</v>
      </c>
    </row>
    <row r="51" spans="1:6" x14ac:dyDescent="0.3">
      <c r="A51" s="8" t="s">
        <v>473</v>
      </c>
      <c r="B51" s="8">
        <f t="shared" si="0"/>
        <v>18</v>
      </c>
      <c r="C51" s="2" t="s">
        <v>210</v>
      </c>
      <c r="D51" s="17">
        <f t="shared" si="1"/>
        <v>11</v>
      </c>
      <c r="E51" t="s">
        <v>89</v>
      </c>
      <c r="F51">
        <f t="shared" si="2"/>
        <v>5</v>
      </c>
    </row>
    <row r="52" spans="1:6" x14ac:dyDescent="0.3">
      <c r="A52" s="8" t="s">
        <v>474</v>
      </c>
      <c r="B52" s="8">
        <f t="shared" si="0"/>
        <v>18</v>
      </c>
      <c r="C52" s="2" t="s">
        <v>209</v>
      </c>
      <c r="D52" s="17">
        <f t="shared" si="1"/>
        <v>10</v>
      </c>
      <c r="E52" t="s">
        <v>89</v>
      </c>
      <c r="F52">
        <f t="shared" si="2"/>
        <v>5</v>
      </c>
    </row>
    <row r="53" spans="1:6" x14ac:dyDescent="0.3">
      <c r="A53" s="8" t="s">
        <v>475</v>
      </c>
      <c r="B53" s="8">
        <f t="shared" si="0"/>
        <v>18</v>
      </c>
      <c r="C53" s="2" t="s">
        <v>208</v>
      </c>
      <c r="D53" s="17">
        <f t="shared" si="1"/>
        <v>10</v>
      </c>
      <c r="E53" t="s">
        <v>89</v>
      </c>
      <c r="F53">
        <f t="shared" si="2"/>
        <v>5</v>
      </c>
    </row>
    <row r="54" spans="1:6" x14ac:dyDescent="0.3">
      <c r="A54" s="8" t="s">
        <v>476</v>
      </c>
      <c r="B54" s="8">
        <f t="shared" si="0"/>
        <v>18</v>
      </c>
      <c r="C54" s="2" t="s">
        <v>211</v>
      </c>
      <c r="D54" s="17">
        <f t="shared" si="1"/>
        <v>11</v>
      </c>
      <c r="E54" t="s">
        <v>89</v>
      </c>
      <c r="F54">
        <f t="shared" si="2"/>
        <v>5</v>
      </c>
    </row>
    <row r="55" spans="1:6" x14ac:dyDescent="0.3">
      <c r="A55" s="8" t="s">
        <v>477</v>
      </c>
      <c r="B55" s="8">
        <f t="shared" si="0"/>
        <v>18</v>
      </c>
      <c r="C55" s="2" t="s">
        <v>212</v>
      </c>
      <c r="D55" s="17">
        <f t="shared" si="1"/>
        <v>15</v>
      </c>
      <c r="E55" t="s">
        <v>89</v>
      </c>
      <c r="F55">
        <f t="shared" si="2"/>
        <v>5</v>
      </c>
    </row>
    <row r="56" spans="1:6" x14ac:dyDescent="0.3">
      <c r="A56" s="8" t="s">
        <v>478</v>
      </c>
      <c r="B56" s="8">
        <f t="shared" si="0"/>
        <v>18</v>
      </c>
      <c r="C56" s="2" t="s">
        <v>232</v>
      </c>
      <c r="D56" s="17">
        <f t="shared" si="1"/>
        <v>11</v>
      </c>
      <c r="E56" t="s">
        <v>89</v>
      </c>
      <c r="F56">
        <f t="shared" si="2"/>
        <v>5</v>
      </c>
    </row>
    <row r="57" spans="1:6" x14ac:dyDescent="0.3">
      <c r="A57" s="8" t="s">
        <v>479</v>
      </c>
      <c r="B57" s="8">
        <f t="shared" si="0"/>
        <v>18</v>
      </c>
      <c r="C57" s="2" t="s">
        <v>233</v>
      </c>
      <c r="D57" s="17">
        <f t="shared" si="1"/>
        <v>7</v>
      </c>
      <c r="E57" t="s">
        <v>89</v>
      </c>
      <c r="F57">
        <f t="shared" si="2"/>
        <v>5</v>
      </c>
    </row>
    <row r="58" spans="1:6" x14ac:dyDescent="0.3">
      <c r="A58" s="8" t="s">
        <v>480</v>
      </c>
      <c r="B58" s="8">
        <f t="shared" si="0"/>
        <v>18</v>
      </c>
      <c r="C58" s="2" t="s">
        <v>234</v>
      </c>
      <c r="D58" s="17">
        <f t="shared" si="1"/>
        <v>7</v>
      </c>
      <c r="E58" t="s">
        <v>89</v>
      </c>
      <c r="F58">
        <f t="shared" si="2"/>
        <v>5</v>
      </c>
    </row>
    <row r="59" spans="1:6" x14ac:dyDescent="0.3">
      <c r="A59" s="8" t="s">
        <v>481</v>
      </c>
      <c r="B59" s="8">
        <f t="shared" si="0"/>
        <v>18</v>
      </c>
      <c r="C59" s="2" t="s">
        <v>235</v>
      </c>
      <c r="D59" s="17">
        <f t="shared" si="1"/>
        <v>7</v>
      </c>
      <c r="E59" t="s">
        <v>89</v>
      </c>
      <c r="F59">
        <f t="shared" si="2"/>
        <v>5</v>
      </c>
    </row>
    <row r="60" spans="1:6" x14ac:dyDescent="0.3">
      <c r="A60" s="8" t="s">
        <v>482</v>
      </c>
      <c r="B60" s="8">
        <f t="shared" si="0"/>
        <v>18</v>
      </c>
      <c r="C60" s="2" t="s">
        <v>236</v>
      </c>
      <c r="D60" s="17">
        <f t="shared" si="1"/>
        <v>6</v>
      </c>
      <c r="E60" t="s">
        <v>89</v>
      </c>
      <c r="F60">
        <f t="shared" si="2"/>
        <v>5</v>
      </c>
    </row>
    <row r="61" spans="1:6" x14ac:dyDescent="0.3">
      <c r="A61" s="8" t="s">
        <v>483</v>
      </c>
      <c r="B61" s="8">
        <f t="shared" si="0"/>
        <v>18</v>
      </c>
      <c r="C61" s="2" t="s">
        <v>237</v>
      </c>
      <c r="D61" s="17">
        <f t="shared" si="1"/>
        <v>4</v>
      </c>
      <c r="E61" t="s">
        <v>89</v>
      </c>
      <c r="F61">
        <f t="shared" si="2"/>
        <v>5</v>
      </c>
    </row>
    <row r="62" spans="1:6" x14ac:dyDescent="0.3">
      <c r="A62" s="8" t="s">
        <v>484</v>
      </c>
      <c r="B62" s="8">
        <f t="shared" si="0"/>
        <v>18</v>
      </c>
      <c r="C62" s="2" t="s">
        <v>238</v>
      </c>
      <c r="D62" s="17">
        <f t="shared" si="1"/>
        <v>6</v>
      </c>
      <c r="E62" t="s">
        <v>89</v>
      </c>
      <c r="F62">
        <f t="shared" si="2"/>
        <v>5</v>
      </c>
    </row>
    <row r="63" spans="1:6" x14ac:dyDescent="0.3">
      <c r="A63" s="8" t="s">
        <v>485</v>
      </c>
      <c r="B63" s="8">
        <f t="shared" si="0"/>
        <v>18</v>
      </c>
      <c r="C63" s="2" t="s">
        <v>239</v>
      </c>
      <c r="D63" s="17">
        <f t="shared" si="1"/>
        <v>6</v>
      </c>
      <c r="E63" t="s">
        <v>89</v>
      </c>
      <c r="F63">
        <f t="shared" si="2"/>
        <v>5</v>
      </c>
    </row>
    <row r="64" spans="1:6" x14ac:dyDescent="0.3">
      <c r="A64" s="8" t="s">
        <v>486</v>
      </c>
      <c r="B64" s="8">
        <f t="shared" si="0"/>
        <v>18</v>
      </c>
      <c r="C64" s="2" t="s">
        <v>240</v>
      </c>
      <c r="D64" s="17">
        <f t="shared" si="1"/>
        <v>15</v>
      </c>
      <c r="E64" t="s">
        <v>89</v>
      </c>
      <c r="F64">
        <f t="shared" si="2"/>
        <v>5</v>
      </c>
    </row>
    <row r="65" spans="1:6" x14ac:dyDescent="0.3">
      <c r="A65" s="8" t="s">
        <v>487</v>
      </c>
      <c r="B65" s="8">
        <f t="shared" si="0"/>
        <v>18</v>
      </c>
      <c r="C65" s="2" t="s">
        <v>259</v>
      </c>
      <c r="D65" s="17">
        <f t="shared" si="1"/>
        <v>7</v>
      </c>
      <c r="E65" t="s">
        <v>89</v>
      </c>
      <c r="F65">
        <f t="shared" si="2"/>
        <v>5</v>
      </c>
    </row>
    <row r="66" spans="1:6" x14ac:dyDescent="0.3">
      <c r="A66" s="8" t="s">
        <v>488</v>
      </c>
      <c r="B66" s="8">
        <f t="shared" si="0"/>
        <v>18</v>
      </c>
      <c r="C66" s="2" t="s">
        <v>260</v>
      </c>
      <c r="D66" s="17">
        <f t="shared" si="1"/>
        <v>7</v>
      </c>
      <c r="E66" t="s">
        <v>89</v>
      </c>
      <c r="F66">
        <f t="shared" si="2"/>
        <v>5</v>
      </c>
    </row>
    <row r="67" spans="1:6" x14ac:dyDescent="0.3">
      <c r="A67" s="8" t="s">
        <v>489</v>
      </c>
      <c r="B67" s="8">
        <f t="shared" ref="B67:B82" si="3">LEN(A67)</f>
        <v>18</v>
      </c>
      <c r="C67" s="2" t="s">
        <v>261</v>
      </c>
      <c r="D67" s="17">
        <f t="shared" ref="D67:D82" si="4">LEN(C67)</f>
        <v>7</v>
      </c>
      <c r="E67" t="s">
        <v>89</v>
      </c>
      <c r="F67">
        <f t="shared" ref="F67:F82" si="5">LEN(E67)</f>
        <v>5</v>
      </c>
    </row>
    <row r="68" spans="1:6" x14ac:dyDescent="0.3">
      <c r="A68" s="8" t="s">
        <v>490</v>
      </c>
      <c r="B68" s="8">
        <f t="shared" si="3"/>
        <v>18</v>
      </c>
      <c r="C68" s="2" t="s">
        <v>262</v>
      </c>
      <c r="D68" s="17">
        <f t="shared" si="4"/>
        <v>7</v>
      </c>
      <c r="E68" t="s">
        <v>89</v>
      </c>
      <c r="F68">
        <f t="shared" si="5"/>
        <v>5</v>
      </c>
    </row>
    <row r="69" spans="1:6" x14ac:dyDescent="0.3">
      <c r="A69" s="8" t="s">
        <v>491</v>
      </c>
      <c r="B69" s="8">
        <f t="shared" si="3"/>
        <v>18</v>
      </c>
      <c r="C69" s="17" t="s">
        <v>263</v>
      </c>
      <c r="D69" s="17">
        <f t="shared" si="4"/>
        <v>8</v>
      </c>
      <c r="E69" t="s">
        <v>89</v>
      </c>
      <c r="F69">
        <f t="shared" si="5"/>
        <v>5</v>
      </c>
    </row>
    <row r="70" spans="1:6" x14ac:dyDescent="0.3">
      <c r="A70" s="8" t="s">
        <v>492</v>
      </c>
      <c r="B70" s="8">
        <f t="shared" si="3"/>
        <v>18</v>
      </c>
      <c r="C70" s="2" t="s">
        <v>264</v>
      </c>
      <c r="D70" s="17">
        <f t="shared" si="4"/>
        <v>8</v>
      </c>
      <c r="E70" t="s">
        <v>89</v>
      </c>
      <c r="F70">
        <f t="shared" si="5"/>
        <v>5</v>
      </c>
    </row>
    <row r="71" spans="1:6" x14ac:dyDescent="0.3">
      <c r="A71" s="8" t="s">
        <v>493</v>
      </c>
      <c r="B71" s="8">
        <f t="shared" si="3"/>
        <v>18</v>
      </c>
      <c r="C71" s="2" t="s">
        <v>265</v>
      </c>
      <c r="D71" s="17">
        <f t="shared" si="4"/>
        <v>8</v>
      </c>
      <c r="E71" t="s">
        <v>89</v>
      </c>
      <c r="F71">
        <f t="shared" si="5"/>
        <v>5</v>
      </c>
    </row>
    <row r="72" spans="1:6" x14ac:dyDescent="0.3">
      <c r="A72" s="8" t="s">
        <v>494</v>
      </c>
      <c r="B72" s="8">
        <f t="shared" si="3"/>
        <v>18</v>
      </c>
      <c r="C72" s="2" t="s">
        <v>266</v>
      </c>
      <c r="D72" s="17">
        <f t="shared" si="4"/>
        <v>8</v>
      </c>
      <c r="E72" t="s">
        <v>89</v>
      </c>
      <c r="F72">
        <f t="shared" si="5"/>
        <v>5</v>
      </c>
    </row>
    <row r="73" spans="1:6" x14ac:dyDescent="0.3">
      <c r="A73" s="8" t="s">
        <v>495</v>
      </c>
      <c r="B73" s="8">
        <f t="shared" si="3"/>
        <v>18</v>
      </c>
      <c r="C73" s="2" t="s">
        <v>267</v>
      </c>
      <c r="D73" s="17">
        <f t="shared" si="4"/>
        <v>8</v>
      </c>
      <c r="E73" t="s">
        <v>89</v>
      </c>
      <c r="F73">
        <f t="shared" si="5"/>
        <v>5</v>
      </c>
    </row>
    <row r="74" spans="1:6" x14ac:dyDescent="0.3">
      <c r="A74" s="8" t="s">
        <v>496</v>
      </c>
      <c r="B74" s="8">
        <f t="shared" si="3"/>
        <v>18</v>
      </c>
      <c r="C74" s="17" t="s">
        <v>283</v>
      </c>
      <c r="D74" s="17">
        <f t="shared" si="4"/>
        <v>3</v>
      </c>
      <c r="E74" t="s">
        <v>89</v>
      </c>
      <c r="F74">
        <f t="shared" si="5"/>
        <v>5</v>
      </c>
    </row>
    <row r="75" spans="1:6" x14ac:dyDescent="0.3">
      <c r="A75" s="8" t="s">
        <v>497</v>
      </c>
      <c r="B75" s="8">
        <f t="shared" si="3"/>
        <v>18</v>
      </c>
      <c r="C75" s="17" t="s">
        <v>284</v>
      </c>
      <c r="D75" s="17">
        <f t="shared" si="4"/>
        <v>3</v>
      </c>
      <c r="E75" t="s">
        <v>89</v>
      </c>
      <c r="F75">
        <f t="shared" si="5"/>
        <v>5</v>
      </c>
    </row>
    <row r="76" spans="1:6" x14ac:dyDescent="0.3">
      <c r="A76" s="8" t="s">
        <v>498</v>
      </c>
      <c r="B76" s="8">
        <f t="shared" si="3"/>
        <v>18</v>
      </c>
      <c r="C76" s="2" t="s">
        <v>285</v>
      </c>
      <c r="D76" s="17">
        <f t="shared" si="4"/>
        <v>15</v>
      </c>
      <c r="E76" t="s">
        <v>89</v>
      </c>
      <c r="F76">
        <f t="shared" si="5"/>
        <v>5</v>
      </c>
    </row>
    <row r="77" spans="1:6" x14ac:dyDescent="0.3">
      <c r="A77" s="8" t="s">
        <v>499</v>
      </c>
      <c r="B77" s="8">
        <f t="shared" si="3"/>
        <v>18</v>
      </c>
      <c r="C77" s="2" t="s">
        <v>286</v>
      </c>
      <c r="D77" s="17">
        <f t="shared" si="4"/>
        <v>4</v>
      </c>
      <c r="E77" t="s">
        <v>89</v>
      </c>
      <c r="F77">
        <f t="shared" si="5"/>
        <v>5</v>
      </c>
    </row>
    <row r="78" spans="1:6" x14ac:dyDescent="0.3">
      <c r="A78" s="8" t="s">
        <v>500</v>
      </c>
      <c r="B78" s="8">
        <f t="shared" si="3"/>
        <v>18</v>
      </c>
      <c r="C78" s="2" t="s">
        <v>287</v>
      </c>
      <c r="D78" s="17">
        <f t="shared" si="4"/>
        <v>3</v>
      </c>
      <c r="E78" t="s">
        <v>89</v>
      </c>
      <c r="F78">
        <f t="shared" si="5"/>
        <v>5</v>
      </c>
    </row>
    <row r="79" spans="1:6" x14ac:dyDescent="0.3">
      <c r="A79" s="8" t="s">
        <v>501</v>
      </c>
      <c r="B79" s="8">
        <f t="shared" si="3"/>
        <v>18</v>
      </c>
      <c r="C79" s="2" t="s">
        <v>288</v>
      </c>
      <c r="D79" s="17">
        <f t="shared" si="4"/>
        <v>3</v>
      </c>
      <c r="E79" t="s">
        <v>89</v>
      </c>
      <c r="F79">
        <f t="shared" si="5"/>
        <v>5</v>
      </c>
    </row>
    <row r="80" spans="1:6" x14ac:dyDescent="0.3">
      <c r="A80" s="8" t="s">
        <v>502</v>
      </c>
      <c r="B80" s="8">
        <f t="shared" si="3"/>
        <v>18</v>
      </c>
      <c r="C80" s="2" t="s">
        <v>289</v>
      </c>
      <c r="D80" s="17">
        <f t="shared" si="4"/>
        <v>3</v>
      </c>
      <c r="E80" t="s">
        <v>89</v>
      </c>
      <c r="F80">
        <f t="shared" si="5"/>
        <v>5</v>
      </c>
    </row>
    <row r="81" spans="1:6" x14ac:dyDescent="0.3">
      <c r="A81" s="8" t="s">
        <v>503</v>
      </c>
      <c r="B81" s="8">
        <f t="shared" si="3"/>
        <v>18</v>
      </c>
      <c r="C81" s="2" t="s">
        <v>290</v>
      </c>
      <c r="D81" s="17">
        <f t="shared" si="4"/>
        <v>3</v>
      </c>
      <c r="E81" t="s">
        <v>89</v>
      </c>
      <c r="F81">
        <f t="shared" si="5"/>
        <v>5</v>
      </c>
    </row>
    <row r="82" spans="1:6" x14ac:dyDescent="0.3">
      <c r="A82" s="8" t="s">
        <v>504</v>
      </c>
      <c r="B82" s="8">
        <f t="shared" si="3"/>
        <v>18</v>
      </c>
      <c r="C82" s="2" t="s">
        <v>291</v>
      </c>
      <c r="D82" s="17">
        <f t="shared" si="4"/>
        <v>3</v>
      </c>
      <c r="E82" t="s">
        <v>89</v>
      </c>
      <c r="F82">
        <f t="shared" si="5"/>
        <v>5</v>
      </c>
    </row>
    <row r="83" spans="1:6" x14ac:dyDescent="0.3">
      <c r="B83" s="8">
        <f>MAX(B2:B82)</f>
        <v>18</v>
      </c>
      <c r="D83" s="17">
        <f>MAX(D2:D82)</f>
        <v>15</v>
      </c>
      <c r="F83">
        <f>MAX(F2:F82)</f>
        <v>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46BB-AEAF-462D-BD20-5FAF6337C59A}">
  <dimension ref="A1:F34"/>
  <sheetViews>
    <sheetView topLeftCell="B2" workbookViewId="0">
      <selection activeCell="F35" sqref="F35"/>
    </sheetView>
  </sheetViews>
  <sheetFormatPr defaultRowHeight="16.5" x14ac:dyDescent="0.3"/>
  <cols>
    <col min="1" max="1" width="21.375" style="8" customWidth="1"/>
    <col min="2" max="2" width="5.25" style="8" customWidth="1"/>
    <col min="3" max="3" width="21.25" style="10" customWidth="1"/>
    <col min="4" max="4" width="3.875" style="10" customWidth="1"/>
    <col min="5" max="5" width="21" style="10" customWidth="1"/>
    <col min="6" max="6" width="4.5" customWidth="1"/>
  </cols>
  <sheetData>
    <row r="1" spans="1:6" x14ac:dyDescent="0.3">
      <c r="A1" s="8" t="s">
        <v>325</v>
      </c>
      <c r="C1" s="10" t="s">
        <v>14</v>
      </c>
      <c r="E1" s="10" t="s">
        <v>314</v>
      </c>
    </row>
    <row r="2" spans="1:6" x14ac:dyDescent="0.3">
      <c r="A2" s="8" t="s">
        <v>326</v>
      </c>
      <c r="B2" s="8">
        <f>LEN(A2)</f>
        <v>18</v>
      </c>
      <c r="C2" s="10" t="s">
        <v>303</v>
      </c>
      <c r="D2" s="10">
        <f>LEN(C2)</f>
        <v>18</v>
      </c>
      <c r="E2" s="10" t="s">
        <v>315</v>
      </c>
      <c r="F2">
        <f>LEN(E2)</f>
        <v>18</v>
      </c>
    </row>
    <row r="3" spans="1:6" x14ac:dyDescent="0.3">
      <c r="A3" s="8" t="s">
        <v>327</v>
      </c>
      <c r="B3" s="8">
        <f t="shared" ref="B3:B33" si="0">LEN(A3)</f>
        <v>18</v>
      </c>
      <c r="C3" s="10" t="s">
        <v>303</v>
      </c>
      <c r="D3" s="10">
        <f t="shared" ref="D3:D33" si="1">LEN(C3)</f>
        <v>18</v>
      </c>
      <c r="E3" s="10" t="s">
        <v>317</v>
      </c>
      <c r="F3">
        <f t="shared" ref="F3:F33" si="2">LEN(E3)</f>
        <v>18</v>
      </c>
    </row>
    <row r="4" spans="1:6" x14ac:dyDescent="0.3">
      <c r="A4" s="8" t="s">
        <v>328</v>
      </c>
      <c r="B4" s="8">
        <f t="shared" si="0"/>
        <v>18</v>
      </c>
      <c r="C4" s="10" t="s">
        <v>303</v>
      </c>
      <c r="D4" s="10">
        <f t="shared" si="1"/>
        <v>18</v>
      </c>
      <c r="E4" s="10" t="s">
        <v>318</v>
      </c>
      <c r="F4">
        <f t="shared" si="2"/>
        <v>18</v>
      </c>
    </row>
    <row r="5" spans="1:6" x14ac:dyDescent="0.3">
      <c r="A5" s="8" t="s">
        <v>329</v>
      </c>
      <c r="B5" s="8">
        <f t="shared" si="0"/>
        <v>18</v>
      </c>
      <c r="C5" s="10" t="s">
        <v>303</v>
      </c>
      <c r="D5" s="10">
        <f t="shared" si="1"/>
        <v>18</v>
      </c>
      <c r="E5" s="10" t="s">
        <v>319</v>
      </c>
      <c r="F5">
        <f t="shared" si="2"/>
        <v>18</v>
      </c>
    </row>
    <row r="6" spans="1:6" x14ac:dyDescent="0.3">
      <c r="A6" s="8" t="s">
        <v>330</v>
      </c>
      <c r="B6" s="8">
        <f t="shared" si="0"/>
        <v>18</v>
      </c>
      <c r="C6" s="10" t="s">
        <v>305</v>
      </c>
      <c r="D6" s="10">
        <f t="shared" si="1"/>
        <v>18</v>
      </c>
      <c r="E6" s="10" t="s">
        <v>318</v>
      </c>
      <c r="F6">
        <f t="shared" si="2"/>
        <v>18</v>
      </c>
    </row>
    <row r="7" spans="1:6" x14ac:dyDescent="0.3">
      <c r="A7" s="8" t="s">
        <v>331</v>
      </c>
      <c r="B7" s="8">
        <f t="shared" si="0"/>
        <v>18</v>
      </c>
      <c r="C7" s="10" t="s">
        <v>305</v>
      </c>
      <c r="D7" s="10">
        <f t="shared" si="1"/>
        <v>18</v>
      </c>
      <c r="E7" s="10" t="s">
        <v>317</v>
      </c>
      <c r="F7">
        <f t="shared" si="2"/>
        <v>18</v>
      </c>
    </row>
    <row r="8" spans="1:6" x14ac:dyDescent="0.3">
      <c r="A8" s="8" t="s">
        <v>332</v>
      </c>
      <c r="B8" s="8">
        <f t="shared" si="0"/>
        <v>18</v>
      </c>
      <c r="C8" s="10" t="s">
        <v>305</v>
      </c>
      <c r="D8" s="10">
        <f t="shared" si="1"/>
        <v>18</v>
      </c>
      <c r="E8" s="10" t="s">
        <v>320</v>
      </c>
      <c r="F8">
        <f t="shared" si="2"/>
        <v>18</v>
      </c>
    </row>
    <row r="9" spans="1:6" x14ac:dyDescent="0.3">
      <c r="A9" s="8" t="s">
        <v>333</v>
      </c>
      <c r="B9" s="8">
        <f t="shared" si="0"/>
        <v>18</v>
      </c>
      <c r="C9" s="10" t="s">
        <v>306</v>
      </c>
      <c r="D9" s="10">
        <f t="shared" si="1"/>
        <v>18</v>
      </c>
      <c r="E9" s="10" t="s">
        <v>315</v>
      </c>
      <c r="F9">
        <f t="shared" si="2"/>
        <v>18</v>
      </c>
    </row>
    <row r="10" spans="1:6" x14ac:dyDescent="0.3">
      <c r="A10" s="8" t="s">
        <v>334</v>
      </c>
      <c r="B10" s="8">
        <f t="shared" si="0"/>
        <v>18</v>
      </c>
      <c r="C10" s="10" t="s">
        <v>306</v>
      </c>
      <c r="D10" s="10">
        <f t="shared" si="1"/>
        <v>18</v>
      </c>
      <c r="E10" s="10" t="s">
        <v>317</v>
      </c>
      <c r="F10">
        <f t="shared" si="2"/>
        <v>18</v>
      </c>
    </row>
    <row r="11" spans="1:6" x14ac:dyDescent="0.3">
      <c r="A11" s="8" t="s">
        <v>335</v>
      </c>
      <c r="B11" s="8">
        <f t="shared" si="0"/>
        <v>18</v>
      </c>
      <c r="C11" s="10" t="s">
        <v>306</v>
      </c>
      <c r="D11" s="10">
        <f t="shared" si="1"/>
        <v>18</v>
      </c>
      <c r="E11" s="10" t="s">
        <v>319</v>
      </c>
      <c r="F11">
        <f t="shared" si="2"/>
        <v>18</v>
      </c>
    </row>
    <row r="12" spans="1:6" x14ac:dyDescent="0.3">
      <c r="A12" s="8" t="s">
        <v>336</v>
      </c>
      <c r="B12" s="8">
        <f t="shared" si="0"/>
        <v>18</v>
      </c>
      <c r="C12" s="10" t="s">
        <v>306</v>
      </c>
      <c r="D12" s="10">
        <f t="shared" si="1"/>
        <v>18</v>
      </c>
      <c r="E12" s="10" t="s">
        <v>320</v>
      </c>
      <c r="F12">
        <f t="shared" si="2"/>
        <v>18</v>
      </c>
    </row>
    <row r="13" spans="1:6" x14ac:dyDescent="0.3">
      <c r="A13" s="8" t="s">
        <v>337</v>
      </c>
      <c r="B13" s="8">
        <f t="shared" si="0"/>
        <v>18</v>
      </c>
      <c r="C13" s="10" t="s">
        <v>306</v>
      </c>
      <c r="D13" s="10">
        <f t="shared" si="1"/>
        <v>18</v>
      </c>
      <c r="E13" s="10" t="s">
        <v>321</v>
      </c>
      <c r="F13">
        <f t="shared" si="2"/>
        <v>18</v>
      </c>
    </row>
    <row r="14" spans="1:6" x14ac:dyDescent="0.3">
      <c r="A14" s="8" t="s">
        <v>338</v>
      </c>
      <c r="B14" s="8">
        <f t="shared" si="0"/>
        <v>18</v>
      </c>
      <c r="C14" s="10" t="s">
        <v>307</v>
      </c>
      <c r="D14" s="10">
        <f t="shared" si="1"/>
        <v>18</v>
      </c>
      <c r="E14" s="10" t="s">
        <v>320</v>
      </c>
      <c r="F14">
        <f t="shared" si="2"/>
        <v>18</v>
      </c>
    </row>
    <row r="15" spans="1:6" x14ac:dyDescent="0.3">
      <c r="A15" s="8" t="s">
        <v>339</v>
      </c>
      <c r="B15" s="8">
        <f t="shared" si="0"/>
        <v>18</v>
      </c>
      <c r="C15" s="10" t="s">
        <v>307</v>
      </c>
      <c r="D15" s="10">
        <f t="shared" si="1"/>
        <v>18</v>
      </c>
      <c r="E15" s="10" t="s">
        <v>323</v>
      </c>
      <c r="F15">
        <f t="shared" si="2"/>
        <v>18</v>
      </c>
    </row>
    <row r="16" spans="1:6" x14ac:dyDescent="0.3">
      <c r="A16" s="8" t="s">
        <v>340</v>
      </c>
      <c r="B16" s="8">
        <f t="shared" si="0"/>
        <v>18</v>
      </c>
      <c r="C16" s="10" t="s">
        <v>307</v>
      </c>
      <c r="D16" s="10">
        <f t="shared" si="1"/>
        <v>18</v>
      </c>
      <c r="E16" s="10" t="s">
        <v>322</v>
      </c>
      <c r="F16">
        <f t="shared" si="2"/>
        <v>18</v>
      </c>
    </row>
    <row r="17" spans="1:6" x14ac:dyDescent="0.3">
      <c r="A17" s="8" t="s">
        <v>341</v>
      </c>
      <c r="B17" s="8">
        <f t="shared" si="0"/>
        <v>18</v>
      </c>
      <c r="C17" s="10" t="s">
        <v>308</v>
      </c>
      <c r="D17" s="10">
        <f t="shared" si="1"/>
        <v>18</v>
      </c>
      <c r="E17" s="10" t="s">
        <v>319</v>
      </c>
      <c r="F17">
        <f t="shared" si="2"/>
        <v>18</v>
      </c>
    </row>
    <row r="18" spans="1:6" x14ac:dyDescent="0.3">
      <c r="A18" s="8" t="s">
        <v>342</v>
      </c>
      <c r="B18" s="8">
        <f t="shared" si="0"/>
        <v>18</v>
      </c>
      <c r="C18" s="10" t="s">
        <v>308</v>
      </c>
      <c r="D18" s="10">
        <f t="shared" si="1"/>
        <v>18</v>
      </c>
      <c r="E18" s="10" t="s">
        <v>321</v>
      </c>
      <c r="F18">
        <f t="shared" si="2"/>
        <v>18</v>
      </c>
    </row>
    <row r="19" spans="1:6" x14ac:dyDescent="0.3">
      <c r="A19" s="8" t="s">
        <v>343</v>
      </c>
      <c r="B19" s="8">
        <f t="shared" si="0"/>
        <v>18</v>
      </c>
      <c r="C19" s="10" t="s">
        <v>308</v>
      </c>
      <c r="D19" s="10">
        <f t="shared" si="1"/>
        <v>18</v>
      </c>
      <c r="E19" s="10" t="s">
        <v>315</v>
      </c>
      <c r="F19">
        <f t="shared" si="2"/>
        <v>18</v>
      </c>
    </row>
    <row r="20" spans="1:6" x14ac:dyDescent="0.3">
      <c r="A20" s="8" t="s">
        <v>344</v>
      </c>
      <c r="B20" s="8">
        <f t="shared" si="0"/>
        <v>18</v>
      </c>
      <c r="C20" s="10" t="s">
        <v>309</v>
      </c>
      <c r="D20" s="10">
        <f t="shared" si="1"/>
        <v>18</v>
      </c>
      <c r="E20" s="10" t="s">
        <v>324</v>
      </c>
      <c r="F20">
        <f t="shared" si="2"/>
        <v>18</v>
      </c>
    </row>
    <row r="21" spans="1:6" x14ac:dyDescent="0.3">
      <c r="A21" s="8" t="s">
        <v>345</v>
      </c>
      <c r="B21" s="8">
        <f t="shared" si="0"/>
        <v>18</v>
      </c>
      <c r="C21" s="10" t="s">
        <v>309</v>
      </c>
      <c r="D21" s="10">
        <f t="shared" si="1"/>
        <v>18</v>
      </c>
      <c r="E21" s="10" t="s">
        <v>322</v>
      </c>
      <c r="F21">
        <f t="shared" si="2"/>
        <v>18</v>
      </c>
    </row>
    <row r="22" spans="1:6" x14ac:dyDescent="0.3">
      <c r="A22" s="8" t="s">
        <v>346</v>
      </c>
      <c r="B22" s="8">
        <f t="shared" si="0"/>
        <v>18</v>
      </c>
      <c r="C22" s="10" t="s">
        <v>309</v>
      </c>
      <c r="D22" s="10">
        <f t="shared" si="1"/>
        <v>18</v>
      </c>
      <c r="E22" s="10" t="s">
        <v>323</v>
      </c>
      <c r="F22">
        <f t="shared" si="2"/>
        <v>18</v>
      </c>
    </row>
    <row r="23" spans="1:6" x14ac:dyDescent="0.3">
      <c r="A23" s="8" t="s">
        <v>347</v>
      </c>
      <c r="B23" s="8">
        <f t="shared" si="0"/>
        <v>18</v>
      </c>
      <c r="C23" s="10" t="s">
        <v>310</v>
      </c>
      <c r="D23" s="10">
        <f t="shared" si="1"/>
        <v>18</v>
      </c>
      <c r="E23" s="10" t="s">
        <v>323</v>
      </c>
      <c r="F23">
        <f t="shared" si="2"/>
        <v>18</v>
      </c>
    </row>
    <row r="24" spans="1:6" x14ac:dyDescent="0.3">
      <c r="A24" s="8" t="s">
        <v>348</v>
      </c>
      <c r="B24" s="8">
        <f t="shared" si="0"/>
        <v>18</v>
      </c>
      <c r="C24" s="10" t="s">
        <v>310</v>
      </c>
      <c r="D24" s="10">
        <f t="shared" si="1"/>
        <v>18</v>
      </c>
      <c r="E24" s="10" t="s">
        <v>318</v>
      </c>
      <c r="F24">
        <f t="shared" si="2"/>
        <v>18</v>
      </c>
    </row>
    <row r="25" spans="1:6" x14ac:dyDescent="0.3">
      <c r="A25" s="8" t="s">
        <v>349</v>
      </c>
      <c r="B25" s="8">
        <f t="shared" si="0"/>
        <v>18</v>
      </c>
      <c r="C25" s="10" t="s">
        <v>311</v>
      </c>
      <c r="D25" s="10">
        <f t="shared" si="1"/>
        <v>18</v>
      </c>
      <c r="E25" s="10" t="s">
        <v>324</v>
      </c>
      <c r="F25">
        <f t="shared" si="2"/>
        <v>18</v>
      </c>
    </row>
    <row r="26" spans="1:6" x14ac:dyDescent="0.3">
      <c r="A26" s="8" t="s">
        <v>350</v>
      </c>
      <c r="B26" s="8">
        <f t="shared" si="0"/>
        <v>18</v>
      </c>
      <c r="C26" s="10" t="s">
        <v>311</v>
      </c>
      <c r="D26" s="10">
        <f t="shared" si="1"/>
        <v>18</v>
      </c>
      <c r="E26" s="10" t="s">
        <v>322</v>
      </c>
      <c r="F26">
        <f t="shared" si="2"/>
        <v>18</v>
      </c>
    </row>
    <row r="27" spans="1:6" x14ac:dyDescent="0.3">
      <c r="A27" s="8" t="s">
        <v>351</v>
      </c>
      <c r="B27" s="8">
        <f t="shared" si="0"/>
        <v>18</v>
      </c>
      <c r="C27" s="10" t="s">
        <v>311</v>
      </c>
      <c r="D27" s="10">
        <f t="shared" si="1"/>
        <v>18</v>
      </c>
      <c r="E27" s="10" t="s">
        <v>320</v>
      </c>
      <c r="F27">
        <f t="shared" si="2"/>
        <v>18</v>
      </c>
    </row>
    <row r="28" spans="1:6" x14ac:dyDescent="0.3">
      <c r="A28" s="8" t="s">
        <v>352</v>
      </c>
      <c r="B28" s="8">
        <f t="shared" si="0"/>
        <v>18</v>
      </c>
      <c r="C28" s="10" t="s">
        <v>312</v>
      </c>
      <c r="D28" s="10">
        <f t="shared" si="1"/>
        <v>18</v>
      </c>
      <c r="E28" s="10" t="s">
        <v>319</v>
      </c>
      <c r="F28">
        <f t="shared" si="2"/>
        <v>18</v>
      </c>
    </row>
    <row r="29" spans="1:6" x14ac:dyDescent="0.3">
      <c r="A29" s="8" t="s">
        <v>353</v>
      </c>
      <c r="B29" s="8">
        <f t="shared" si="0"/>
        <v>18</v>
      </c>
      <c r="C29" s="10" t="s">
        <v>312</v>
      </c>
      <c r="D29" s="10">
        <f t="shared" si="1"/>
        <v>18</v>
      </c>
      <c r="E29" s="10" t="s">
        <v>320</v>
      </c>
      <c r="F29">
        <f t="shared" si="2"/>
        <v>18</v>
      </c>
    </row>
    <row r="30" spans="1:6" x14ac:dyDescent="0.3">
      <c r="A30" s="8" t="s">
        <v>354</v>
      </c>
      <c r="B30" s="8">
        <f t="shared" si="0"/>
        <v>18</v>
      </c>
      <c r="C30" s="10" t="s">
        <v>312</v>
      </c>
      <c r="D30" s="10">
        <f t="shared" si="1"/>
        <v>18</v>
      </c>
      <c r="E30" s="10" t="s">
        <v>324</v>
      </c>
      <c r="F30">
        <f t="shared" si="2"/>
        <v>18</v>
      </c>
    </row>
    <row r="31" spans="1:6" x14ac:dyDescent="0.3">
      <c r="A31" s="8" t="s">
        <v>355</v>
      </c>
      <c r="B31" s="8">
        <f t="shared" si="0"/>
        <v>18</v>
      </c>
      <c r="C31" s="10" t="s">
        <v>312</v>
      </c>
      <c r="D31" s="10">
        <f t="shared" si="1"/>
        <v>18</v>
      </c>
      <c r="E31" s="10" t="s">
        <v>315</v>
      </c>
      <c r="F31">
        <f t="shared" si="2"/>
        <v>18</v>
      </c>
    </row>
    <row r="32" spans="1:6" x14ac:dyDescent="0.3">
      <c r="A32" s="8" t="s">
        <v>356</v>
      </c>
      <c r="B32" s="8">
        <f t="shared" si="0"/>
        <v>18</v>
      </c>
      <c r="C32" s="10" t="s">
        <v>313</v>
      </c>
      <c r="D32" s="10">
        <f t="shared" si="1"/>
        <v>18</v>
      </c>
      <c r="E32" s="10" t="s">
        <v>318</v>
      </c>
      <c r="F32">
        <f t="shared" si="2"/>
        <v>18</v>
      </c>
    </row>
    <row r="33" spans="1:6" x14ac:dyDescent="0.3">
      <c r="A33" s="8" t="s">
        <v>357</v>
      </c>
      <c r="B33" s="8">
        <f t="shared" si="0"/>
        <v>18</v>
      </c>
      <c r="C33" s="10" t="s">
        <v>313</v>
      </c>
      <c r="D33" s="10">
        <f t="shared" si="1"/>
        <v>18</v>
      </c>
      <c r="E33" s="10" t="s">
        <v>323</v>
      </c>
      <c r="F33">
        <f t="shared" si="2"/>
        <v>18</v>
      </c>
    </row>
    <row r="34" spans="1:6" x14ac:dyDescent="0.3">
      <c r="B34" s="8">
        <f>MAX(B2:B33)</f>
        <v>18</v>
      </c>
      <c r="D34" s="10">
        <f>MAX(D2:D33)</f>
        <v>18</v>
      </c>
      <c r="F34">
        <f>MAX(F1:F33)</f>
        <v>18</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E5673-17B0-42B1-AC0D-71D0C53875B5}">
  <dimension ref="A1:F11"/>
  <sheetViews>
    <sheetView workbookViewId="0">
      <selection activeCell="F12" sqref="F12"/>
    </sheetView>
  </sheetViews>
  <sheetFormatPr defaultRowHeight="16.5" x14ac:dyDescent="0.3"/>
  <cols>
    <col min="1" max="1" width="23.125" customWidth="1"/>
    <col min="2" max="2" width="5.25" customWidth="1"/>
    <col min="3" max="3" width="23.125" customWidth="1"/>
    <col min="4" max="4" width="4.625" customWidth="1"/>
    <col min="5" max="5" width="11.125" customWidth="1"/>
    <col min="6" max="6" width="4.375" customWidth="1"/>
  </cols>
  <sheetData>
    <row r="1" spans="1:6" x14ac:dyDescent="0.3">
      <c r="A1" t="s">
        <v>25</v>
      </c>
      <c r="C1" t="s">
        <v>314</v>
      </c>
      <c r="E1" t="s">
        <v>26</v>
      </c>
    </row>
    <row r="2" spans="1:6" x14ac:dyDescent="0.3">
      <c r="A2" t="s">
        <v>27</v>
      </c>
      <c r="B2">
        <f>LEN(A2)</f>
        <v>10</v>
      </c>
      <c r="C2" t="s">
        <v>316</v>
      </c>
      <c r="D2">
        <f>LEN(C2)</f>
        <v>18</v>
      </c>
      <c r="E2" t="s">
        <v>28</v>
      </c>
      <c r="F2">
        <f>LEN(E2)</f>
        <v>3</v>
      </c>
    </row>
    <row r="3" spans="1:6" x14ac:dyDescent="0.3">
      <c r="A3" t="s">
        <v>35</v>
      </c>
      <c r="B3">
        <f t="shared" ref="B3:B10" si="0">LEN(A3)</f>
        <v>11</v>
      </c>
      <c r="C3" t="s">
        <v>317</v>
      </c>
      <c r="D3">
        <f t="shared" ref="D3:D10" si="1">LEN(C3)</f>
        <v>18</v>
      </c>
      <c r="E3" t="s">
        <v>29</v>
      </c>
      <c r="F3">
        <f t="shared" ref="F3:F10" si="2">LEN(E3)</f>
        <v>2</v>
      </c>
    </row>
    <row r="4" spans="1:6" x14ac:dyDescent="0.3">
      <c r="A4" t="s">
        <v>56</v>
      </c>
      <c r="B4">
        <f t="shared" si="0"/>
        <v>9</v>
      </c>
      <c r="C4" t="s">
        <v>318</v>
      </c>
      <c r="D4">
        <f t="shared" si="1"/>
        <v>18</v>
      </c>
      <c r="E4" t="s">
        <v>30</v>
      </c>
      <c r="F4">
        <f t="shared" si="2"/>
        <v>3</v>
      </c>
    </row>
    <row r="5" spans="1:6" x14ac:dyDescent="0.3">
      <c r="A5" t="s">
        <v>37</v>
      </c>
      <c r="B5">
        <f t="shared" si="0"/>
        <v>12</v>
      </c>
      <c r="C5" t="s">
        <v>319</v>
      </c>
      <c r="D5">
        <f t="shared" si="1"/>
        <v>18</v>
      </c>
      <c r="E5" t="s">
        <v>31</v>
      </c>
      <c r="F5">
        <f t="shared" si="2"/>
        <v>5</v>
      </c>
    </row>
    <row r="6" spans="1:6" x14ac:dyDescent="0.3">
      <c r="A6" t="s">
        <v>36</v>
      </c>
      <c r="B6">
        <f t="shared" si="0"/>
        <v>12</v>
      </c>
      <c r="C6" t="s">
        <v>320</v>
      </c>
      <c r="D6">
        <f t="shared" si="1"/>
        <v>18</v>
      </c>
      <c r="E6" t="s">
        <v>32</v>
      </c>
      <c r="F6">
        <f t="shared" si="2"/>
        <v>2</v>
      </c>
    </row>
    <row r="7" spans="1:6" x14ac:dyDescent="0.3">
      <c r="A7" t="s">
        <v>34</v>
      </c>
      <c r="B7">
        <f t="shared" si="0"/>
        <v>12</v>
      </c>
      <c r="C7" t="s">
        <v>321</v>
      </c>
      <c r="D7">
        <f t="shared" si="1"/>
        <v>18</v>
      </c>
      <c r="E7" t="s">
        <v>33</v>
      </c>
      <c r="F7">
        <f t="shared" si="2"/>
        <v>2</v>
      </c>
    </row>
    <row r="8" spans="1:6" x14ac:dyDescent="0.3">
      <c r="A8" t="s">
        <v>138</v>
      </c>
      <c r="B8">
        <f t="shared" si="0"/>
        <v>19</v>
      </c>
      <c r="C8" t="s">
        <v>322</v>
      </c>
      <c r="D8">
        <f t="shared" si="1"/>
        <v>18</v>
      </c>
      <c r="E8" t="s">
        <v>139</v>
      </c>
      <c r="F8">
        <f t="shared" si="2"/>
        <v>2</v>
      </c>
    </row>
    <row r="9" spans="1:6" x14ac:dyDescent="0.3">
      <c r="A9" t="s">
        <v>140</v>
      </c>
      <c r="B9">
        <f t="shared" si="0"/>
        <v>8</v>
      </c>
      <c r="C9" t="s">
        <v>323</v>
      </c>
      <c r="D9">
        <f t="shared" si="1"/>
        <v>18</v>
      </c>
      <c r="E9" t="s">
        <v>141</v>
      </c>
      <c r="F9">
        <f t="shared" si="2"/>
        <v>3</v>
      </c>
    </row>
    <row r="10" spans="1:6" x14ac:dyDescent="0.3">
      <c r="A10" t="s">
        <v>194</v>
      </c>
      <c r="B10">
        <f t="shared" si="0"/>
        <v>9</v>
      </c>
      <c r="C10" t="s">
        <v>324</v>
      </c>
      <c r="D10">
        <f t="shared" si="1"/>
        <v>18</v>
      </c>
      <c r="E10" t="s">
        <v>195</v>
      </c>
      <c r="F10">
        <f t="shared" si="2"/>
        <v>2</v>
      </c>
    </row>
    <row r="11" spans="1:6" x14ac:dyDescent="0.3">
      <c r="B11">
        <f>MAX(B2:B10)</f>
        <v>19</v>
      </c>
      <c r="D11">
        <f>MAX(D2:D10)</f>
        <v>18</v>
      </c>
      <c r="F11">
        <f>MAX(F2:F10)</f>
        <v>5</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2EBB9-3980-4B1D-82C7-D854DF06FB43}">
  <dimension ref="A1:D27"/>
  <sheetViews>
    <sheetView workbookViewId="0">
      <selection activeCell="D28" sqref="D28"/>
    </sheetView>
  </sheetViews>
  <sheetFormatPr defaultRowHeight="16.5" x14ac:dyDescent="0.3"/>
  <cols>
    <col min="1" max="1" width="20" style="8" customWidth="1"/>
    <col min="2" max="2" width="4.5" style="8" customWidth="1"/>
    <col min="3" max="3" width="14.875" customWidth="1"/>
    <col min="4" max="4" width="4" customWidth="1"/>
  </cols>
  <sheetData>
    <row r="1" spans="1:4" x14ac:dyDescent="0.3">
      <c r="A1" s="8" t="s">
        <v>40</v>
      </c>
      <c r="C1" t="s">
        <v>6</v>
      </c>
    </row>
    <row r="2" spans="1:4" x14ac:dyDescent="0.3">
      <c r="A2" s="8" t="s">
        <v>359</v>
      </c>
      <c r="B2" s="8">
        <f>LEN(A2)</f>
        <v>18</v>
      </c>
      <c r="C2" s="2" t="s">
        <v>0</v>
      </c>
      <c r="D2">
        <f>LEN(C2)</f>
        <v>4</v>
      </c>
    </row>
    <row r="3" spans="1:4" x14ac:dyDescent="0.3">
      <c r="A3" s="8" t="s">
        <v>360</v>
      </c>
      <c r="B3" s="8">
        <f t="shared" ref="B3:B26" si="0">LEN(A3)</f>
        <v>18</v>
      </c>
      <c r="C3" s="2" t="s">
        <v>8</v>
      </c>
      <c r="D3">
        <f t="shared" ref="D3:D26" si="1">LEN(C3)</f>
        <v>8</v>
      </c>
    </row>
    <row r="4" spans="1:4" x14ac:dyDescent="0.3">
      <c r="A4" s="8" t="s">
        <v>361</v>
      </c>
      <c r="B4" s="8">
        <f t="shared" si="0"/>
        <v>18</v>
      </c>
      <c r="C4" s="2" t="s">
        <v>9</v>
      </c>
      <c r="D4">
        <f t="shared" si="1"/>
        <v>7</v>
      </c>
    </row>
    <row r="5" spans="1:4" x14ac:dyDescent="0.3">
      <c r="A5" s="8" t="s">
        <v>362</v>
      </c>
      <c r="B5" s="8">
        <f t="shared" si="0"/>
        <v>18</v>
      </c>
      <c r="C5" s="2" t="s">
        <v>10</v>
      </c>
      <c r="D5">
        <f t="shared" si="1"/>
        <v>6</v>
      </c>
    </row>
    <row r="6" spans="1:4" x14ac:dyDescent="0.3">
      <c r="A6" s="8" t="s">
        <v>363</v>
      </c>
      <c r="B6" s="8">
        <f t="shared" si="0"/>
        <v>18</v>
      </c>
      <c r="C6" s="2" t="s">
        <v>108</v>
      </c>
      <c r="D6">
        <f t="shared" si="1"/>
        <v>9</v>
      </c>
    </row>
    <row r="7" spans="1:4" x14ac:dyDescent="0.3">
      <c r="A7" s="8" t="s">
        <v>364</v>
      </c>
      <c r="B7" s="8">
        <f t="shared" si="0"/>
        <v>18</v>
      </c>
      <c r="C7" s="2" t="s">
        <v>107</v>
      </c>
      <c r="D7">
        <f t="shared" si="1"/>
        <v>14</v>
      </c>
    </row>
    <row r="8" spans="1:4" x14ac:dyDescent="0.3">
      <c r="A8" s="8" t="s">
        <v>365</v>
      </c>
      <c r="B8" s="8">
        <f t="shared" si="0"/>
        <v>18</v>
      </c>
      <c r="C8" s="2" t="s">
        <v>106</v>
      </c>
      <c r="D8">
        <f t="shared" si="1"/>
        <v>12</v>
      </c>
    </row>
    <row r="9" spans="1:4" x14ac:dyDescent="0.3">
      <c r="A9" s="8" t="s">
        <v>366</v>
      </c>
      <c r="B9" s="8">
        <f t="shared" si="0"/>
        <v>18</v>
      </c>
      <c r="C9" s="2" t="s">
        <v>143</v>
      </c>
      <c r="D9">
        <f t="shared" si="1"/>
        <v>8</v>
      </c>
    </row>
    <row r="10" spans="1:4" x14ac:dyDescent="0.3">
      <c r="A10" s="8" t="s">
        <v>367</v>
      </c>
      <c r="B10" s="8">
        <f t="shared" si="0"/>
        <v>18</v>
      </c>
      <c r="C10" s="2" t="s">
        <v>142</v>
      </c>
      <c r="D10">
        <f t="shared" si="1"/>
        <v>6</v>
      </c>
    </row>
    <row r="11" spans="1:4" x14ac:dyDescent="0.3">
      <c r="A11" s="8" t="s">
        <v>368</v>
      </c>
      <c r="B11" s="8">
        <f t="shared" si="0"/>
        <v>18</v>
      </c>
      <c r="C11" s="2" t="s">
        <v>170</v>
      </c>
      <c r="D11">
        <f t="shared" si="1"/>
        <v>8</v>
      </c>
    </row>
    <row r="12" spans="1:4" x14ac:dyDescent="0.3">
      <c r="A12" s="8" t="s">
        <v>369</v>
      </c>
      <c r="B12" s="8">
        <f t="shared" si="0"/>
        <v>18</v>
      </c>
      <c r="C12" s="2" t="s">
        <v>196</v>
      </c>
      <c r="D12">
        <f t="shared" si="1"/>
        <v>3</v>
      </c>
    </row>
    <row r="13" spans="1:4" x14ac:dyDescent="0.3">
      <c r="A13" s="8" t="s">
        <v>370</v>
      </c>
      <c r="B13" s="8">
        <f t="shared" si="0"/>
        <v>18</v>
      </c>
      <c r="C13" s="2" t="s">
        <v>197</v>
      </c>
      <c r="D13">
        <f t="shared" si="1"/>
        <v>15</v>
      </c>
    </row>
    <row r="14" spans="1:4" x14ac:dyDescent="0.3">
      <c r="A14" s="8" t="s">
        <v>371</v>
      </c>
      <c r="B14" s="8">
        <f t="shared" si="0"/>
        <v>18</v>
      </c>
      <c r="C14" s="2" t="s">
        <v>222</v>
      </c>
      <c r="D14">
        <f t="shared" si="1"/>
        <v>15</v>
      </c>
    </row>
    <row r="15" spans="1:4" x14ac:dyDescent="0.3">
      <c r="A15" s="8" t="s">
        <v>372</v>
      </c>
      <c r="B15" s="8">
        <f t="shared" si="0"/>
        <v>18</v>
      </c>
      <c r="C15" s="2" t="s">
        <v>223</v>
      </c>
      <c r="D15">
        <f t="shared" si="1"/>
        <v>13</v>
      </c>
    </row>
    <row r="16" spans="1:4" x14ac:dyDescent="0.3">
      <c r="A16" s="8" t="s">
        <v>373</v>
      </c>
      <c r="B16" s="8">
        <f t="shared" si="0"/>
        <v>18</v>
      </c>
      <c r="C16" s="2" t="s">
        <v>224</v>
      </c>
      <c r="D16">
        <f t="shared" si="1"/>
        <v>13</v>
      </c>
    </row>
    <row r="17" spans="1:4" x14ac:dyDescent="0.3">
      <c r="A17" s="8" t="s">
        <v>374</v>
      </c>
      <c r="B17" s="8">
        <f t="shared" si="0"/>
        <v>18</v>
      </c>
      <c r="C17" s="2" t="s">
        <v>225</v>
      </c>
      <c r="D17">
        <f t="shared" si="1"/>
        <v>18</v>
      </c>
    </row>
    <row r="18" spans="1:4" x14ac:dyDescent="0.3">
      <c r="A18" s="8" t="s">
        <v>375</v>
      </c>
      <c r="B18" s="8">
        <f t="shared" si="0"/>
        <v>18</v>
      </c>
      <c r="C18" s="2" t="s">
        <v>254</v>
      </c>
      <c r="D18">
        <f t="shared" si="1"/>
        <v>5</v>
      </c>
    </row>
    <row r="19" spans="1:4" x14ac:dyDescent="0.3">
      <c r="A19" s="8" t="s">
        <v>376</v>
      </c>
      <c r="B19" s="8">
        <f t="shared" si="0"/>
        <v>18</v>
      </c>
      <c r="C19" s="2" t="s">
        <v>253</v>
      </c>
      <c r="D19">
        <f t="shared" si="1"/>
        <v>5</v>
      </c>
    </row>
    <row r="20" spans="1:4" x14ac:dyDescent="0.3">
      <c r="A20" s="8" t="s">
        <v>377</v>
      </c>
      <c r="B20" s="8">
        <f t="shared" si="0"/>
        <v>18</v>
      </c>
      <c r="C20" t="s">
        <v>252</v>
      </c>
      <c r="D20">
        <f t="shared" si="1"/>
        <v>6</v>
      </c>
    </row>
    <row r="21" spans="1:4" x14ac:dyDescent="0.3">
      <c r="A21" s="8" t="s">
        <v>378</v>
      </c>
      <c r="B21" s="8">
        <f t="shared" si="0"/>
        <v>18</v>
      </c>
      <c r="C21" s="2" t="s">
        <v>251</v>
      </c>
      <c r="D21">
        <f t="shared" si="1"/>
        <v>11</v>
      </c>
    </row>
    <row r="22" spans="1:4" x14ac:dyDescent="0.3">
      <c r="A22" s="8" t="s">
        <v>379</v>
      </c>
      <c r="B22" s="8">
        <f t="shared" si="0"/>
        <v>18</v>
      </c>
      <c r="C22" s="2" t="s">
        <v>250</v>
      </c>
      <c r="D22">
        <f t="shared" si="1"/>
        <v>10</v>
      </c>
    </row>
    <row r="23" spans="1:4" x14ac:dyDescent="0.3">
      <c r="A23" s="8" t="s">
        <v>380</v>
      </c>
      <c r="B23" s="8">
        <f t="shared" si="0"/>
        <v>18</v>
      </c>
      <c r="C23" s="2" t="s">
        <v>277</v>
      </c>
      <c r="D23">
        <f t="shared" si="1"/>
        <v>14</v>
      </c>
    </row>
    <row r="24" spans="1:4" x14ac:dyDescent="0.3">
      <c r="A24" s="8" t="s">
        <v>381</v>
      </c>
      <c r="B24" s="8">
        <f t="shared" si="0"/>
        <v>18</v>
      </c>
      <c r="C24" s="2" t="s">
        <v>278</v>
      </c>
      <c r="D24">
        <f t="shared" si="1"/>
        <v>15</v>
      </c>
    </row>
    <row r="25" spans="1:4" x14ac:dyDescent="0.3">
      <c r="A25" s="8" t="s">
        <v>382</v>
      </c>
      <c r="B25" s="8">
        <f t="shared" si="0"/>
        <v>18</v>
      </c>
      <c r="C25" s="2" t="s">
        <v>300</v>
      </c>
      <c r="D25">
        <f t="shared" si="1"/>
        <v>3</v>
      </c>
    </row>
    <row r="26" spans="1:4" x14ac:dyDescent="0.3">
      <c r="A26" s="8" t="s">
        <v>383</v>
      </c>
      <c r="B26" s="8">
        <f t="shared" si="0"/>
        <v>18</v>
      </c>
      <c r="C26" s="2" t="s">
        <v>70</v>
      </c>
      <c r="D26">
        <f t="shared" si="1"/>
        <v>3</v>
      </c>
    </row>
    <row r="27" spans="1:4" x14ac:dyDescent="0.3">
      <c r="B27" s="8">
        <f>MAX(B2:B26)</f>
        <v>18</v>
      </c>
      <c r="D27">
        <f>MAX(D2:D26)</f>
        <v>18</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F82-6D94-47C3-A8BC-71E387EBAABA}">
  <dimension ref="A1:J41"/>
  <sheetViews>
    <sheetView topLeftCell="C19" workbookViewId="0">
      <selection activeCell="J42" sqref="J42"/>
    </sheetView>
  </sheetViews>
  <sheetFormatPr defaultRowHeight="16.5" x14ac:dyDescent="0.3"/>
  <cols>
    <col min="1" max="1" width="22.125" style="8" customWidth="1"/>
    <col min="2" max="2" width="5.5" style="8" customWidth="1"/>
    <col min="3" max="3" width="19.25" style="10" customWidth="1"/>
    <col min="4" max="4" width="4.125" style="10" customWidth="1"/>
    <col min="5" max="5" width="20.75" style="10" customWidth="1"/>
    <col min="6" max="6" width="5.875" style="10" customWidth="1"/>
    <col min="7" max="7" width="15.875" customWidth="1"/>
    <col min="8" max="8" width="5.25" customWidth="1"/>
    <col min="9" max="9" width="12.625" customWidth="1"/>
    <col min="10" max="10" width="4.625" customWidth="1"/>
  </cols>
  <sheetData>
    <row r="1" spans="1:10" x14ac:dyDescent="0.3">
      <c r="A1" s="8" t="s">
        <v>39</v>
      </c>
      <c r="C1" s="10" t="s">
        <v>40</v>
      </c>
      <c r="E1" s="10" t="s">
        <v>14</v>
      </c>
      <c r="G1" t="s">
        <v>7</v>
      </c>
      <c r="I1" t="s">
        <v>112</v>
      </c>
    </row>
    <row r="2" spans="1:10" x14ac:dyDescent="0.3">
      <c r="A2" s="8" t="s">
        <v>384</v>
      </c>
      <c r="B2" s="8">
        <f>LEN(A2)</f>
        <v>18</v>
      </c>
      <c r="C2" s="10" t="s">
        <v>358</v>
      </c>
      <c r="D2" s="10">
        <f t="shared" ref="D2:D39" si="0">LEN(C2)</f>
        <v>18</v>
      </c>
      <c r="E2" s="10" t="s">
        <v>303</v>
      </c>
      <c r="F2" s="10">
        <f>LEN(E2)</f>
        <v>18</v>
      </c>
      <c r="G2" s="1" t="s">
        <v>2</v>
      </c>
      <c r="H2" s="1">
        <f>LEN(G2)</f>
        <v>8</v>
      </c>
      <c r="I2" t="s">
        <v>113</v>
      </c>
      <c r="J2">
        <f>LEN(I2)</f>
        <v>2</v>
      </c>
    </row>
    <row r="3" spans="1:10" x14ac:dyDescent="0.3">
      <c r="A3" s="8" t="s">
        <v>385</v>
      </c>
      <c r="B3" s="8">
        <f t="shared" ref="B3:B40" si="1">LEN(A3)</f>
        <v>18</v>
      </c>
      <c r="C3" s="10" t="s">
        <v>358</v>
      </c>
      <c r="D3" s="10">
        <f t="shared" si="0"/>
        <v>18</v>
      </c>
      <c r="E3" s="10" t="s">
        <v>303</v>
      </c>
      <c r="F3" s="10">
        <f t="shared" ref="F3:F40" si="2">LEN(E3)</f>
        <v>18</v>
      </c>
      <c r="G3" t="s">
        <v>4</v>
      </c>
      <c r="H3" s="1">
        <f t="shared" ref="H3:H40" si="3">LEN(G3)</f>
        <v>10</v>
      </c>
      <c r="I3" t="s">
        <v>114</v>
      </c>
      <c r="J3">
        <f t="shared" ref="J3:J40" si="4">LEN(I3)</f>
        <v>2</v>
      </c>
    </row>
    <row r="4" spans="1:10" x14ac:dyDescent="0.3">
      <c r="A4" s="8" t="s">
        <v>386</v>
      </c>
      <c r="B4" s="8">
        <f t="shared" si="1"/>
        <v>18</v>
      </c>
      <c r="C4" s="10" t="s">
        <v>358</v>
      </c>
      <c r="D4" s="10">
        <f t="shared" si="0"/>
        <v>18</v>
      </c>
      <c r="E4" s="10" t="s">
        <v>303</v>
      </c>
      <c r="F4" s="10">
        <f t="shared" si="2"/>
        <v>18</v>
      </c>
      <c r="G4" t="s">
        <v>5</v>
      </c>
      <c r="H4" s="1">
        <f t="shared" si="3"/>
        <v>5</v>
      </c>
      <c r="I4" t="s">
        <v>114</v>
      </c>
      <c r="J4">
        <f t="shared" si="4"/>
        <v>2</v>
      </c>
    </row>
    <row r="5" spans="1:10" x14ac:dyDescent="0.3">
      <c r="A5" s="8" t="s">
        <v>387</v>
      </c>
      <c r="B5" s="8">
        <f t="shared" si="1"/>
        <v>18</v>
      </c>
      <c r="C5" s="10" t="s">
        <v>358</v>
      </c>
      <c r="D5" s="10">
        <f t="shared" si="0"/>
        <v>18</v>
      </c>
      <c r="E5" s="10" t="s">
        <v>306</v>
      </c>
      <c r="F5" s="10">
        <f t="shared" si="2"/>
        <v>18</v>
      </c>
      <c r="G5" s="1" t="s">
        <v>2</v>
      </c>
      <c r="H5" s="1">
        <f t="shared" si="3"/>
        <v>8</v>
      </c>
      <c r="I5" s="18"/>
      <c r="J5">
        <f t="shared" si="4"/>
        <v>0</v>
      </c>
    </row>
    <row r="6" spans="1:10" x14ac:dyDescent="0.3">
      <c r="A6" s="8" t="s">
        <v>388</v>
      </c>
      <c r="B6" s="8">
        <f t="shared" si="1"/>
        <v>18</v>
      </c>
      <c r="C6" s="10" t="s">
        <v>358</v>
      </c>
      <c r="D6" s="10">
        <f t="shared" si="0"/>
        <v>18</v>
      </c>
      <c r="E6" s="10" t="s">
        <v>306</v>
      </c>
      <c r="F6" s="10">
        <f t="shared" si="2"/>
        <v>18</v>
      </c>
      <c r="G6" s="9" t="s">
        <v>38</v>
      </c>
      <c r="H6" s="1">
        <f t="shared" si="3"/>
        <v>6</v>
      </c>
      <c r="I6" s="18"/>
      <c r="J6">
        <f t="shared" si="4"/>
        <v>0</v>
      </c>
    </row>
    <row r="7" spans="1:10" x14ac:dyDescent="0.3">
      <c r="A7" s="8" t="s">
        <v>389</v>
      </c>
      <c r="B7" s="8">
        <f t="shared" si="1"/>
        <v>18</v>
      </c>
      <c r="C7" s="10" t="s">
        <v>360</v>
      </c>
      <c r="D7" s="10">
        <f t="shared" si="0"/>
        <v>18</v>
      </c>
      <c r="E7" s="10" t="s">
        <v>303</v>
      </c>
      <c r="F7" s="10">
        <f t="shared" si="2"/>
        <v>18</v>
      </c>
      <c r="G7" t="s">
        <v>2</v>
      </c>
      <c r="H7" s="1">
        <f t="shared" si="3"/>
        <v>8</v>
      </c>
      <c r="I7" t="s">
        <v>113</v>
      </c>
      <c r="J7">
        <f t="shared" si="4"/>
        <v>2</v>
      </c>
    </row>
    <row r="8" spans="1:10" x14ac:dyDescent="0.3">
      <c r="A8" s="8" t="s">
        <v>390</v>
      </c>
      <c r="B8" s="8">
        <f t="shared" si="1"/>
        <v>18</v>
      </c>
      <c r="C8" s="10" t="s">
        <v>360</v>
      </c>
      <c r="D8" s="10">
        <f t="shared" si="0"/>
        <v>18</v>
      </c>
      <c r="E8" s="10" t="s">
        <v>303</v>
      </c>
      <c r="F8" s="10">
        <f t="shared" si="2"/>
        <v>18</v>
      </c>
      <c r="G8" t="s">
        <v>4</v>
      </c>
      <c r="H8" s="1">
        <f t="shared" si="3"/>
        <v>10</v>
      </c>
      <c r="I8" t="s">
        <v>114</v>
      </c>
      <c r="J8">
        <f t="shared" si="4"/>
        <v>2</v>
      </c>
    </row>
    <row r="9" spans="1:10" x14ac:dyDescent="0.3">
      <c r="A9" s="8" t="s">
        <v>391</v>
      </c>
      <c r="B9" s="8">
        <f t="shared" si="1"/>
        <v>18</v>
      </c>
      <c r="C9" s="10" t="s">
        <v>360</v>
      </c>
      <c r="D9" s="10">
        <f t="shared" si="0"/>
        <v>18</v>
      </c>
      <c r="E9" s="10" t="s">
        <v>306</v>
      </c>
      <c r="F9" s="10">
        <f t="shared" si="2"/>
        <v>18</v>
      </c>
      <c r="G9" s="1" t="s">
        <v>2</v>
      </c>
      <c r="H9" s="1">
        <f t="shared" si="3"/>
        <v>8</v>
      </c>
      <c r="I9" s="18"/>
      <c r="J9">
        <f t="shared" si="4"/>
        <v>0</v>
      </c>
    </row>
    <row r="10" spans="1:10" x14ac:dyDescent="0.3">
      <c r="A10" s="8" t="s">
        <v>392</v>
      </c>
      <c r="B10" s="8">
        <f t="shared" si="1"/>
        <v>18</v>
      </c>
      <c r="C10" s="10" t="s">
        <v>360</v>
      </c>
      <c r="D10" s="10">
        <f t="shared" si="0"/>
        <v>18</v>
      </c>
      <c r="E10" s="10" t="s">
        <v>306</v>
      </c>
      <c r="F10" s="10">
        <f t="shared" si="2"/>
        <v>18</v>
      </c>
      <c r="G10" s="9" t="s">
        <v>38</v>
      </c>
      <c r="H10" s="1">
        <f t="shared" si="3"/>
        <v>6</v>
      </c>
      <c r="I10" s="18"/>
      <c r="J10">
        <f t="shared" si="4"/>
        <v>0</v>
      </c>
    </row>
    <row r="11" spans="1:10" x14ac:dyDescent="0.3">
      <c r="A11" s="8" t="s">
        <v>393</v>
      </c>
      <c r="B11" s="8">
        <f t="shared" si="1"/>
        <v>18</v>
      </c>
      <c r="C11" s="10" t="s">
        <v>361</v>
      </c>
      <c r="D11" s="10">
        <f t="shared" si="0"/>
        <v>18</v>
      </c>
      <c r="E11" s="10" t="s">
        <v>303</v>
      </c>
      <c r="F11" s="10">
        <f t="shared" si="2"/>
        <v>18</v>
      </c>
      <c r="G11" s="3" t="s">
        <v>4</v>
      </c>
      <c r="H11" s="1">
        <f t="shared" si="3"/>
        <v>10</v>
      </c>
      <c r="I11" t="s">
        <v>114</v>
      </c>
      <c r="J11">
        <f t="shared" si="4"/>
        <v>2</v>
      </c>
    </row>
    <row r="12" spans="1:10" x14ac:dyDescent="0.3">
      <c r="A12" s="8" t="s">
        <v>394</v>
      </c>
      <c r="B12" s="8">
        <f t="shared" si="1"/>
        <v>18</v>
      </c>
      <c r="C12" s="10" t="s">
        <v>362</v>
      </c>
      <c r="D12" s="10">
        <f t="shared" si="0"/>
        <v>18</v>
      </c>
      <c r="E12" s="10" t="s">
        <v>303</v>
      </c>
      <c r="F12" s="10">
        <f t="shared" si="2"/>
        <v>18</v>
      </c>
      <c r="G12" s="1" t="s">
        <v>3</v>
      </c>
      <c r="H12" s="1">
        <f t="shared" si="3"/>
        <v>10</v>
      </c>
      <c r="I12" t="s">
        <v>114</v>
      </c>
      <c r="J12">
        <f t="shared" si="4"/>
        <v>2</v>
      </c>
    </row>
    <row r="13" spans="1:10" x14ac:dyDescent="0.3">
      <c r="A13" s="8" t="s">
        <v>395</v>
      </c>
      <c r="B13" s="8">
        <f t="shared" si="1"/>
        <v>18</v>
      </c>
      <c r="C13" s="10" t="s">
        <v>363</v>
      </c>
      <c r="D13" s="10">
        <f t="shared" si="0"/>
        <v>18</v>
      </c>
      <c r="E13" s="10" t="s">
        <v>305</v>
      </c>
      <c r="F13" s="10">
        <f t="shared" si="2"/>
        <v>18</v>
      </c>
      <c r="G13" s="9" t="s">
        <v>3</v>
      </c>
      <c r="H13" s="1">
        <f t="shared" si="3"/>
        <v>10</v>
      </c>
      <c r="I13" t="s">
        <v>114</v>
      </c>
      <c r="J13">
        <f t="shared" si="4"/>
        <v>2</v>
      </c>
    </row>
    <row r="14" spans="1:10" x14ac:dyDescent="0.3">
      <c r="A14" s="8" t="s">
        <v>396</v>
      </c>
      <c r="B14" s="8">
        <f t="shared" si="1"/>
        <v>18</v>
      </c>
      <c r="C14" s="10" t="s">
        <v>363</v>
      </c>
      <c r="D14" s="10">
        <f t="shared" si="0"/>
        <v>18</v>
      </c>
      <c r="E14" s="10" t="s">
        <v>305</v>
      </c>
      <c r="F14" s="10">
        <f t="shared" si="2"/>
        <v>18</v>
      </c>
      <c r="G14" t="s">
        <v>109</v>
      </c>
      <c r="H14" s="1">
        <f t="shared" si="3"/>
        <v>5</v>
      </c>
      <c r="I14" t="s">
        <v>114</v>
      </c>
      <c r="J14">
        <f t="shared" si="4"/>
        <v>2</v>
      </c>
    </row>
    <row r="15" spans="1:10" x14ac:dyDescent="0.3">
      <c r="A15" s="8" t="s">
        <v>397</v>
      </c>
      <c r="B15" s="8">
        <f t="shared" si="1"/>
        <v>18</v>
      </c>
      <c r="C15" s="10" t="s">
        <v>364</v>
      </c>
      <c r="D15" s="10">
        <f t="shared" si="0"/>
        <v>18</v>
      </c>
      <c r="E15" s="10" t="s">
        <v>305</v>
      </c>
      <c r="F15" s="10">
        <f t="shared" si="2"/>
        <v>18</v>
      </c>
      <c r="G15" s="9" t="s">
        <v>1</v>
      </c>
      <c r="H15" s="1">
        <f t="shared" si="3"/>
        <v>8</v>
      </c>
      <c r="I15" t="s">
        <v>113</v>
      </c>
      <c r="J15">
        <f t="shared" si="4"/>
        <v>2</v>
      </c>
    </row>
    <row r="16" spans="1:10" x14ac:dyDescent="0.3">
      <c r="A16" s="8" t="s">
        <v>398</v>
      </c>
      <c r="B16" s="8">
        <f t="shared" si="1"/>
        <v>18</v>
      </c>
      <c r="C16" s="10" t="s">
        <v>365</v>
      </c>
      <c r="D16" s="10">
        <f t="shared" si="0"/>
        <v>18</v>
      </c>
      <c r="E16" s="10" t="s">
        <v>305</v>
      </c>
      <c r="F16" s="10">
        <f t="shared" si="2"/>
        <v>18</v>
      </c>
      <c r="G16" s="9" t="s">
        <v>3</v>
      </c>
      <c r="H16" s="1">
        <f t="shared" si="3"/>
        <v>10</v>
      </c>
      <c r="I16" t="s">
        <v>114</v>
      </c>
      <c r="J16">
        <f t="shared" si="4"/>
        <v>2</v>
      </c>
    </row>
    <row r="17" spans="1:10" x14ac:dyDescent="0.3">
      <c r="A17" s="8" t="s">
        <v>399</v>
      </c>
      <c r="B17" s="8">
        <f t="shared" si="1"/>
        <v>18</v>
      </c>
      <c r="C17" s="10" t="s">
        <v>366</v>
      </c>
      <c r="D17" s="10">
        <f t="shared" si="0"/>
        <v>18</v>
      </c>
      <c r="E17" s="10" t="s">
        <v>307</v>
      </c>
      <c r="F17" s="10">
        <f t="shared" si="2"/>
        <v>18</v>
      </c>
      <c r="G17" s="9" t="s">
        <v>1</v>
      </c>
      <c r="H17" s="1">
        <f t="shared" si="3"/>
        <v>8</v>
      </c>
      <c r="I17" t="s">
        <v>113</v>
      </c>
      <c r="J17">
        <f t="shared" si="4"/>
        <v>2</v>
      </c>
    </row>
    <row r="18" spans="1:10" x14ac:dyDescent="0.3">
      <c r="A18" s="8" t="s">
        <v>400</v>
      </c>
      <c r="B18" s="8">
        <f t="shared" si="1"/>
        <v>18</v>
      </c>
      <c r="C18" s="10" t="s">
        <v>366</v>
      </c>
      <c r="D18" s="10">
        <f t="shared" si="0"/>
        <v>18</v>
      </c>
      <c r="E18" s="10" t="s">
        <v>307</v>
      </c>
      <c r="F18" s="10">
        <f t="shared" si="2"/>
        <v>18</v>
      </c>
      <c r="G18" s="9" t="s">
        <v>38</v>
      </c>
      <c r="H18" s="1">
        <f t="shared" si="3"/>
        <v>6</v>
      </c>
      <c r="I18" t="s">
        <v>114</v>
      </c>
      <c r="J18">
        <f t="shared" si="4"/>
        <v>2</v>
      </c>
    </row>
    <row r="19" spans="1:10" x14ac:dyDescent="0.3">
      <c r="A19" s="8" t="s">
        <v>401</v>
      </c>
      <c r="B19" s="8">
        <f t="shared" si="1"/>
        <v>18</v>
      </c>
      <c r="C19" s="10" t="s">
        <v>367</v>
      </c>
      <c r="D19" s="10">
        <f t="shared" si="0"/>
        <v>18</v>
      </c>
      <c r="E19" s="10" t="s">
        <v>307</v>
      </c>
      <c r="F19" s="10">
        <f t="shared" si="2"/>
        <v>18</v>
      </c>
      <c r="G19" s="9" t="s">
        <v>38</v>
      </c>
      <c r="H19" s="1">
        <f t="shared" si="3"/>
        <v>6</v>
      </c>
      <c r="I19" t="s">
        <v>114</v>
      </c>
      <c r="J19">
        <f t="shared" si="4"/>
        <v>2</v>
      </c>
    </row>
    <row r="20" spans="1:10" x14ac:dyDescent="0.3">
      <c r="A20" s="8" t="s">
        <v>402</v>
      </c>
      <c r="B20" s="8">
        <f t="shared" si="1"/>
        <v>18</v>
      </c>
      <c r="C20" s="10" t="s">
        <v>368</v>
      </c>
      <c r="D20" s="10">
        <f t="shared" si="0"/>
        <v>18</v>
      </c>
      <c r="E20" s="10" t="s">
        <v>308</v>
      </c>
      <c r="F20" s="10">
        <f t="shared" si="2"/>
        <v>18</v>
      </c>
      <c r="G20" s="9" t="s">
        <v>1</v>
      </c>
      <c r="H20" s="1">
        <f t="shared" si="3"/>
        <v>8</v>
      </c>
      <c r="I20" t="s">
        <v>113</v>
      </c>
      <c r="J20">
        <f t="shared" si="4"/>
        <v>2</v>
      </c>
    </row>
    <row r="21" spans="1:10" x14ac:dyDescent="0.3">
      <c r="A21" s="8" t="s">
        <v>403</v>
      </c>
      <c r="B21" s="8">
        <f t="shared" si="1"/>
        <v>18</v>
      </c>
      <c r="C21" s="10" t="s">
        <v>368</v>
      </c>
      <c r="D21" s="10">
        <f t="shared" si="0"/>
        <v>18</v>
      </c>
      <c r="E21" s="10" t="s">
        <v>308</v>
      </c>
      <c r="F21" s="10">
        <f t="shared" si="2"/>
        <v>18</v>
      </c>
      <c r="G21" s="9" t="s">
        <v>4</v>
      </c>
      <c r="H21" s="1">
        <f t="shared" si="3"/>
        <v>10</v>
      </c>
      <c r="I21" t="s">
        <v>114</v>
      </c>
      <c r="J21">
        <f t="shared" si="4"/>
        <v>2</v>
      </c>
    </row>
    <row r="22" spans="1:10" x14ac:dyDescent="0.3">
      <c r="A22" s="8" t="s">
        <v>404</v>
      </c>
      <c r="B22" s="8">
        <f t="shared" si="1"/>
        <v>18</v>
      </c>
      <c r="C22" s="10" t="s">
        <v>369</v>
      </c>
      <c r="D22" s="10">
        <f t="shared" si="0"/>
        <v>18</v>
      </c>
      <c r="E22" s="10" t="s">
        <v>309</v>
      </c>
      <c r="F22" s="10">
        <f t="shared" si="2"/>
        <v>18</v>
      </c>
      <c r="G22" s="9" t="s">
        <v>1</v>
      </c>
      <c r="H22" s="1">
        <f t="shared" si="3"/>
        <v>8</v>
      </c>
      <c r="I22" t="s">
        <v>113</v>
      </c>
      <c r="J22">
        <f t="shared" si="4"/>
        <v>2</v>
      </c>
    </row>
    <row r="23" spans="1:10" x14ac:dyDescent="0.3">
      <c r="A23" s="8" t="s">
        <v>405</v>
      </c>
      <c r="B23" s="8">
        <f t="shared" si="1"/>
        <v>18</v>
      </c>
      <c r="C23" s="10" t="s">
        <v>369</v>
      </c>
      <c r="D23" s="10">
        <f t="shared" si="0"/>
        <v>18</v>
      </c>
      <c r="E23" s="10" t="s">
        <v>309</v>
      </c>
      <c r="F23" s="10">
        <f t="shared" si="2"/>
        <v>18</v>
      </c>
      <c r="G23" s="9" t="s">
        <v>4</v>
      </c>
      <c r="H23" s="1">
        <f t="shared" si="3"/>
        <v>10</v>
      </c>
      <c r="I23" t="s">
        <v>114</v>
      </c>
      <c r="J23">
        <f t="shared" si="4"/>
        <v>2</v>
      </c>
    </row>
    <row r="24" spans="1:10" x14ac:dyDescent="0.3">
      <c r="A24" s="8" t="s">
        <v>406</v>
      </c>
      <c r="B24" s="8">
        <f t="shared" si="1"/>
        <v>18</v>
      </c>
      <c r="C24" s="10" t="s">
        <v>370</v>
      </c>
      <c r="D24" s="10">
        <f t="shared" si="0"/>
        <v>18</v>
      </c>
      <c r="E24" s="10" t="s">
        <v>309</v>
      </c>
      <c r="F24" s="10">
        <f t="shared" si="2"/>
        <v>18</v>
      </c>
      <c r="G24" s="9" t="s">
        <v>4</v>
      </c>
      <c r="H24" s="1">
        <f t="shared" si="3"/>
        <v>10</v>
      </c>
      <c r="I24" t="s">
        <v>114</v>
      </c>
      <c r="J24">
        <f t="shared" si="4"/>
        <v>2</v>
      </c>
    </row>
    <row r="25" spans="1:10" x14ac:dyDescent="0.3">
      <c r="A25" s="8" t="s">
        <v>407</v>
      </c>
      <c r="B25" s="8">
        <f t="shared" si="1"/>
        <v>18</v>
      </c>
      <c r="C25" s="10" t="s">
        <v>371</v>
      </c>
      <c r="D25" s="10">
        <f t="shared" si="0"/>
        <v>18</v>
      </c>
      <c r="E25" s="10" t="s">
        <v>310</v>
      </c>
      <c r="F25" s="10">
        <f t="shared" si="2"/>
        <v>18</v>
      </c>
      <c r="G25" s="9" t="s">
        <v>1</v>
      </c>
      <c r="H25" s="1">
        <f t="shared" si="3"/>
        <v>8</v>
      </c>
      <c r="I25" t="s">
        <v>113</v>
      </c>
      <c r="J25">
        <f t="shared" si="4"/>
        <v>2</v>
      </c>
    </row>
    <row r="26" spans="1:10" x14ac:dyDescent="0.3">
      <c r="A26" s="8" t="s">
        <v>408</v>
      </c>
      <c r="B26" s="8">
        <f t="shared" si="1"/>
        <v>18</v>
      </c>
      <c r="C26" s="10" t="s">
        <v>371</v>
      </c>
      <c r="D26" s="10">
        <f t="shared" si="0"/>
        <v>18</v>
      </c>
      <c r="E26" s="10" t="s">
        <v>310</v>
      </c>
      <c r="F26" s="10">
        <f t="shared" si="2"/>
        <v>18</v>
      </c>
      <c r="G26" s="9" t="s">
        <v>3</v>
      </c>
      <c r="H26" s="1">
        <f t="shared" si="3"/>
        <v>10</v>
      </c>
      <c r="I26" t="s">
        <v>114</v>
      </c>
      <c r="J26">
        <f t="shared" si="4"/>
        <v>2</v>
      </c>
    </row>
    <row r="27" spans="1:10" x14ac:dyDescent="0.3">
      <c r="A27" s="8" t="s">
        <v>409</v>
      </c>
      <c r="B27" s="8">
        <f t="shared" si="1"/>
        <v>18</v>
      </c>
      <c r="C27" s="10" t="s">
        <v>372</v>
      </c>
      <c r="D27" s="10">
        <f t="shared" si="0"/>
        <v>18</v>
      </c>
      <c r="E27" s="10" t="s">
        <v>310</v>
      </c>
      <c r="F27" s="10">
        <f t="shared" si="2"/>
        <v>18</v>
      </c>
      <c r="G27" s="9" t="s">
        <v>4</v>
      </c>
      <c r="H27" s="1">
        <f t="shared" si="3"/>
        <v>10</v>
      </c>
      <c r="I27" t="s">
        <v>114</v>
      </c>
      <c r="J27">
        <f t="shared" si="4"/>
        <v>2</v>
      </c>
    </row>
    <row r="28" spans="1:10" x14ac:dyDescent="0.3">
      <c r="A28" s="8" t="s">
        <v>410</v>
      </c>
      <c r="B28" s="8">
        <f t="shared" si="1"/>
        <v>18</v>
      </c>
      <c r="C28" s="10" t="s">
        <v>372</v>
      </c>
      <c r="D28" s="10">
        <f t="shared" si="0"/>
        <v>18</v>
      </c>
      <c r="E28" s="10" t="s">
        <v>310</v>
      </c>
      <c r="F28" s="10">
        <f t="shared" si="2"/>
        <v>18</v>
      </c>
      <c r="G28" t="s">
        <v>109</v>
      </c>
      <c r="H28" s="1">
        <f t="shared" si="3"/>
        <v>5</v>
      </c>
      <c r="I28" t="s">
        <v>114</v>
      </c>
      <c r="J28">
        <f t="shared" si="4"/>
        <v>2</v>
      </c>
    </row>
    <row r="29" spans="1:10" x14ac:dyDescent="0.3">
      <c r="A29" s="8" t="s">
        <v>411</v>
      </c>
      <c r="B29" s="8">
        <f t="shared" si="1"/>
        <v>18</v>
      </c>
      <c r="C29" s="10" t="s">
        <v>373</v>
      </c>
      <c r="D29" s="10">
        <f t="shared" si="0"/>
        <v>18</v>
      </c>
      <c r="E29" s="10" t="s">
        <v>310</v>
      </c>
      <c r="F29" s="10">
        <f t="shared" si="2"/>
        <v>18</v>
      </c>
      <c r="G29" s="9" t="s">
        <v>226</v>
      </c>
      <c r="H29" s="1">
        <f t="shared" si="3"/>
        <v>5</v>
      </c>
      <c r="I29" t="s">
        <v>114</v>
      </c>
      <c r="J29">
        <f t="shared" si="4"/>
        <v>2</v>
      </c>
    </row>
    <row r="30" spans="1:10" x14ac:dyDescent="0.3">
      <c r="A30" s="8" t="s">
        <v>412</v>
      </c>
      <c r="B30" s="8">
        <f t="shared" si="1"/>
        <v>18</v>
      </c>
      <c r="C30" s="10" t="s">
        <v>374</v>
      </c>
      <c r="D30" s="10">
        <f t="shared" si="0"/>
        <v>18</v>
      </c>
      <c r="E30" s="10" t="s">
        <v>310</v>
      </c>
      <c r="F30" s="10">
        <f t="shared" si="2"/>
        <v>18</v>
      </c>
      <c r="G30" s="9" t="s">
        <v>3</v>
      </c>
      <c r="H30" s="1">
        <f t="shared" si="3"/>
        <v>10</v>
      </c>
      <c r="I30" t="s">
        <v>114</v>
      </c>
      <c r="J30">
        <f t="shared" si="4"/>
        <v>2</v>
      </c>
    </row>
    <row r="31" spans="1:10" x14ac:dyDescent="0.3">
      <c r="A31" s="8" t="s">
        <v>413</v>
      </c>
      <c r="B31" s="8">
        <f t="shared" si="1"/>
        <v>18</v>
      </c>
      <c r="C31" s="10" t="s">
        <v>375</v>
      </c>
      <c r="D31" s="10">
        <f t="shared" si="0"/>
        <v>18</v>
      </c>
      <c r="E31" s="10" t="s">
        <v>311</v>
      </c>
      <c r="F31" s="10">
        <f t="shared" si="2"/>
        <v>18</v>
      </c>
      <c r="G31" s="9" t="s">
        <v>1</v>
      </c>
      <c r="H31" s="1">
        <f t="shared" si="3"/>
        <v>8</v>
      </c>
      <c r="I31" t="s">
        <v>113</v>
      </c>
      <c r="J31">
        <f t="shared" si="4"/>
        <v>2</v>
      </c>
    </row>
    <row r="32" spans="1:10" x14ac:dyDescent="0.3">
      <c r="A32" s="8" t="s">
        <v>414</v>
      </c>
      <c r="B32" s="8">
        <f t="shared" si="1"/>
        <v>18</v>
      </c>
      <c r="C32" s="10" t="s">
        <v>376</v>
      </c>
      <c r="D32" s="10">
        <f t="shared" si="0"/>
        <v>18</v>
      </c>
      <c r="E32" s="10" t="s">
        <v>311</v>
      </c>
      <c r="F32" s="10">
        <f t="shared" si="2"/>
        <v>18</v>
      </c>
      <c r="G32" s="9" t="s">
        <v>3</v>
      </c>
      <c r="H32" s="1">
        <f t="shared" si="3"/>
        <v>10</v>
      </c>
      <c r="I32" t="s">
        <v>114</v>
      </c>
      <c r="J32">
        <f t="shared" si="4"/>
        <v>2</v>
      </c>
    </row>
    <row r="33" spans="1:10" x14ac:dyDescent="0.3">
      <c r="A33" s="8" t="s">
        <v>415</v>
      </c>
      <c r="B33" s="8">
        <f t="shared" si="1"/>
        <v>18</v>
      </c>
      <c r="C33" s="10" t="s">
        <v>377</v>
      </c>
      <c r="D33" s="10">
        <f t="shared" si="0"/>
        <v>18</v>
      </c>
      <c r="E33" s="10" t="s">
        <v>311</v>
      </c>
      <c r="F33" s="10">
        <f t="shared" si="2"/>
        <v>18</v>
      </c>
      <c r="G33" s="9" t="s">
        <v>3</v>
      </c>
      <c r="H33" s="1">
        <f t="shared" si="3"/>
        <v>10</v>
      </c>
      <c r="I33" t="s">
        <v>114</v>
      </c>
      <c r="J33">
        <f t="shared" si="4"/>
        <v>2</v>
      </c>
    </row>
    <row r="34" spans="1:10" x14ac:dyDescent="0.3">
      <c r="A34" s="8" t="s">
        <v>416</v>
      </c>
      <c r="B34" s="8">
        <f t="shared" si="1"/>
        <v>18</v>
      </c>
      <c r="C34" s="10" t="s">
        <v>378</v>
      </c>
      <c r="D34" s="10">
        <f t="shared" si="0"/>
        <v>18</v>
      </c>
      <c r="E34" s="10" t="s">
        <v>311</v>
      </c>
      <c r="F34" s="10">
        <f t="shared" si="2"/>
        <v>18</v>
      </c>
      <c r="G34" s="9" t="s">
        <v>3</v>
      </c>
      <c r="H34" s="1">
        <f t="shared" si="3"/>
        <v>10</v>
      </c>
      <c r="I34" t="s">
        <v>114</v>
      </c>
      <c r="J34">
        <f t="shared" si="4"/>
        <v>2</v>
      </c>
    </row>
    <row r="35" spans="1:10" x14ac:dyDescent="0.3">
      <c r="A35" s="8" t="s">
        <v>417</v>
      </c>
      <c r="B35" s="8">
        <f t="shared" si="1"/>
        <v>18</v>
      </c>
      <c r="C35" s="10" t="s">
        <v>379</v>
      </c>
      <c r="D35" s="10">
        <f t="shared" si="0"/>
        <v>18</v>
      </c>
      <c r="E35" s="10" t="s">
        <v>311</v>
      </c>
      <c r="F35" s="10">
        <f t="shared" si="2"/>
        <v>18</v>
      </c>
      <c r="G35" s="9" t="s">
        <v>3</v>
      </c>
      <c r="H35" s="1">
        <f t="shared" si="3"/>
        <v>10</v>
      </c>
      <c r="I35" t="s">
        <v>114</v>
      </c>
      <c r="J35">
        <f t="shared" si="4"/>
        <v>2</v>
      </c>
    </row>
    <row r="36" spans="1:10" x14ac:dyDescent="0.3">
      <c r="A36" s="8" t="s">
        <v>418</v>
      </c>
      <c r="B36" s="8">
        <f t="shared" si="1"/>
        <v>18</v>
      </c>
      <c r="C36" s="10" t="s">
        <v>380</v>
      </c>
      <c r="D36" s="10">
        <f t="shared" si="0"/>
        <v>18</v>
      </c>
      <c r="E36" s="10" t="s">
        <v>312</v>
      </c>
      <c r="F36" s="10">
        <f t="shared" si="2"/>
        <v>18</v>
      </c>
      <c r="G36" s="9" t="s">
        <v>1</v>
      </c>
      <c r="H36" s="1">
        <f t="shared" si="3"/>
        <v>8</v>
      </c>
      <c r="I36" t="s">
        <v>113</v>
      </c>
      <c r="J36">
        <f t="shared" si="4"/>
        <v>2</v>
      </c>
    </row>
    <row r="37" spans="1:10" x14ac:dyDescent="0.3">
      <c r="A37" s="8" t="s">
        <v>419</v>
      </c>
      <c r="B37" s="8">
        <f t="shared" si="1"/>
        <v>18</v>
      </c>
      <c r="C37" s="10" t="s">
        <v>381</v>
      </c>
      <c r="D37" s="10">
        <f t="shared" si="0"/>
        <v>18</v>
      </c>
      <c r="E37" s="10" t="s">
        <v>312</v>
      </c>
      <c r="F37" s="10">
        <f t="shared" si="2"/>
        <v>18</v>
      </c>
      <c r="G37" s="9" t="s">
        <v>3</v>
      </c>
      <c r="H37" s="1">
        <f t="shared" si="3"/>
        <v>10</v>
      </c>
      <c r="I37" t="s">
        <v>114</v>
      </c>
      <c r="J37">
        <f t="shared" si="4"/>
        <v>2</v>
      </c>
    </row>
    <row r="38" spans="1:10" x14ac:dyDescent="0.3">
      <c r="A38" s="8" t="s">
        <v>420</v>
      </c>
      <c r="B38" s="8">
        <f t="shared" si="1"/>
        <v>18</v>
      </c>
      <c r="C38" s="10" t="s">
        <v>382</v>
      </c>
      <c r="D38" s="10">
        <f t="shared" si="0"/>
        <v>18</v>
      </c>
      <c r="E38" s="10" t="s">
        <v>313</v>
      </c>
      <c r="F38" s="10">
        <f t="shared" si="2"/>
        <v>18</v>
      </c>
      <c r="G38" s="9" t="s">
        <v>1</v>
      </c>
      <c r="H38" s="1">
        <f t="shared" si="3"/>
        <v>8</v>
      </c>
      <c r="I38" t="s">
        <v>113</v>
      </c>
      <c r="J38">
        <f t="shared" si="4"/>
        <v>2</v>
      </c>
    </row>
    <row r="39" spans="1:10" x14ac:dyDescent="0.3">
      <c r="A39" s="8" t="s">
        <v>421</v>
      </c>
      <c r="B39" s="8">
        <f t="shared" si="1"/>
        <v>18</v>
      </c>
      <c r="C39" s="10" t="s">
        <v>382</v>
      </c>
      <c r="D39" s="10">
        <f t="shared" si="0"/>
        <v>18</v>
      </c>
      <c r="E39" s="10" t="s">
        <v>313</v>
      </c>
      <c r="F39" s="10">
        <f t="shared" si="2"/>
        <v>18</v>
      </c>
      <c r="G39" s="9" t="s">
        <v>3</v>
      </c>
      <c r="H39" s="1">
        <f t="shared" si="3"/>
        <v>10</v>
      </c>
      <c r="I39" t="s">
        <v>114</v>
      </c>
      <c r="J39">
        <f t="shared" si="4"/>
        <v>2</v>
      </c>
    </row>
    <row r="40" spans="1:10" x14ac:dyDescent="0.3">
      <c r="A40" s="8" t="s">
        <v>422</v>
      </c>
      <c r="B40" s="8">
        <f t="shared" si="1"/>
        <v>18</v>
      </c>
      <c r="C40" s="10" t="s">
        <v>383</v>
      </c>
      <c r="D40" s="10">
        <f>LEN(C40)</f>
        <v>18</v>
      </c>
      <c r="E40" s="10" t="s">
        <v>313</v>
      </c>
      <c r="F40" s="10">
        <f t="shared" si="2"/>
        <v>18</v>
      </c>
      <c r="G40" s="9" t="s">
        <v>3</v>
      </c>
      <c r="H40" s="1">
        <f t="shared" si="3"/>
        <v>10</v>
      </c>
      <c r="I40" t="s">
        <v>114</v>
      </c>
      <c r="J40">
        <f t="shared" si="4"/>
        <v>2</v>
      </c>
    </row>
    <row r="41" spans="1:10" x14ac:dyDescent="0.3">
      <c r="B41" s="8">
        <f>MAX(B2:B40)</f>
        <v>18</v>
      </c>
      <c r="D41" s="10">
        <f>MAX(D2:D40)</f>
        <v>18</v>
      </c>
      <c r="F41" s="10">
        <f>MAX(F2:F40)</f>
        <v>18</v>
      </c>
      <c r="H41" s="1">
        <f>MAX(H2:H40)</f>
        <v>10</v>
      </c>
      <c r="J41">
        <f>MAX(J2:J40)</f>
        <v>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영화</vt:lpstr>
      <vt:lpstr>출연</vt:lpstr>
      <vt:lpstr>출연진</vt:lpstr>
      <vt:lpstr>장르</vt:lpstr>
      <vt:lpstr>분류</vt:lpstr>
      <vt:lpstr>제작진</vt:lpstr>
      <vt:lpstr>제작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2026-02-26T01:16:25Z</dcterms:created>
  <dcterms:modified xsi:type="dcterms:W3CDTF">2026-02-26T07:48:31Z</dcterms:modified>
</cp:coreProperties>
</file>